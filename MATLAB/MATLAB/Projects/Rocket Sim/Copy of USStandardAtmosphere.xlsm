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7A2D7E96-6E34-419A-AE5F-296B3A7E7977}"/>
  <workbookPr codeName="ThisWorkbook"/>
  <mc:AlternateContent xmlns:mc="http://schemas.openxmlformats.org/markup-compatibility/2006">
    <mc:Choice Requires="x15">
      <x15ac:absPath xmlns:x15ac="http://schemas.microsoft.com/office/spreadsheetml/2010/11/ac" url="C:\Users\User\Documents\MATLAB\Projects\Rocket Sim\"/>
    </mc:Choice>
  </mc:AlternateContent>
  <xr:revisionPtr revIDLastSave="0" documentId="13_ncr:1_{D5CF2C05-6544-4D3A-B320-CE427088458A}" xr6:coauthVersionLast="47" xr6:coauthVersionMax="47" xr10:uidLastSave="{00000000-0000-0000-0000-000000000000}"/>
  <bookViews>
    <workbookView xWindow="480" yWindow="2025" windowWidth="16575" windowHeight="17760" activeTab="2" xr2:uid="{00000000-000D-0000-FFFF-FFFF00000000}"/>
  </bookViews>
  <sheets>
    <sheet name="MainSheet" sheetId="1" r:id="rId1"/>
    <sheet name="TabularData" sheetId="2" r:id="rId2"/>
    <sheet name="Temperature,Pressure,Density" sheetId="3" r:id="rId3"/>
  </sheets>
  <definedNames>
    <definedName name="_Arg1">#REF!</definedName>
    <definedName name="_Arg3">#REF!</definedName>
    <definedName name="Airprop">#REF!</definedName>
    <definedName name="Airvalue">#REF!</definedName>
    <definedName name="altitude">MainSheet!$A$5</definedName>
    <definedName name="Area">#REF!</definedName>
    <definedName name="Dab">#REF!</definedName>
    <definedName name="delta">#REF!</definedName>
    <definedName name="density_ratio">MainSheet!$B$5</definedName>
    <definedName name="Diam">#REF!</definedName>
    <definedName name="Diameter">#REF!</definedName>
    <definedName name="gtab">TabularData!$D$1:$D$8</definedName>
    <definedName name="htab">TabularData!$A$1:$A$8</definedName>
    <definedName name="Prandtl">#REF!</definedName>
    <definedName name="pressure_ratio">MainSheet!$C$5</definedName>
    <definedName name="ptab">TabularData!$C$1:$C$8</definedName>
    <definedName name="Qtot">#REF!</definedName>
    <definedName name="Relhum">#REF!</definedName>
    <definedName name="Reynolds">#REF!</definedName>
    <definedName name="Schmidt">#REF!</definedName>
    <definedName name="Tair">#REF!</definedName>
    <definedName name="temp_ratio">MainSheet!$D$5</definedName>
    <definedName name="Tfilm">#REF!</definedName>
    <definedName name="Tskin">#REF!</definedName>
    <definedName name="ttab">TabularData!$B$1:$B$8</definedName>
    <definedName name="Velhsi">#REF!</definedName>
    <definedName name="Velocity">#REF!</definedName>
    <definedName name="Watprop">#REF!</definedName>
    <definedName name="Watvalu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 i="3" l="1"/>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4" i="3"/>
  <c r="F88"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4" i="3"/>
  <c r="B5" i="3"/>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Robert J. Ribando</author>
    <author>University of Virginia SEAS</author>
  </authors>
  <commentList>
    <comment ref="A1" authorId="0" shapeId="0" xr:uid="{00000000-0006-0000-0000-000001000000}">
      <text>
        <r>
          <rPr>
            <b/>
            <sz val="9"/>
            <color indexed="81"/>
            <rFont val="Tahoma"/>
            <family val="2"/>
          </rPr>
          <t>This is a translation into Excel/VBA of a Fortran90 subroutine called Atmosphere by Ralph Carmichael of Public Domain Aeronautical Software.  The original subroutine was downloaded from http://www.pdas.com/atmos.htm on 8/29/03
To view the VBA coding: click Tools, Macro, Visual Basic Editor.  It is in Module 1.</t>
        </r>
      </text>
    </comment>
    <comment ref="D2" authorId="1" shapeId="0" xr:uid="{00000000-0006-0000-0000-000002000000}">
      <text>
        <r>
          <rPr>
            <b/>
            <sz val="8"/>
            <color indexed="81"/>
            <rFont val="Tahoma"/>
            <family val="2"/>
          </rPr>
          <t xml:space="preserve">University of Virginia </t>
        </r>
        <r>
          <rPr>
            <sz val="8"/>
            <color indexed="81"/>
            <rFont val="Tahoma"/>
            <family val="2"/>
          </rPr>
          <t xml:space="preserve">
</t>
        </r>
        <r>
          <rPr>
            <b/>
            <sz val="9"/>
            <color indexed="81"/>
            <rFont val="Tahoma"/>
            <family val="2"/>
          </rPr>
          <t>11/14/03
Robert J. Ribando
Upgraded 3/16/2018</t>
        </r>
      </text>
    </comment>
    <comment ref="G3" authorId="0" shapeId="0" xr:uid="{00000000-0006-0000-0000-000003000000}">
      <text>
        <r>
          <rPr>
            <b/>
            <sz val="9"/>
            <color indexed="81"/>
            <rFont val="Tahoma"/>
            <family val="2"/>
          </rPr>
          <t>Type the desired altitude in kilometers into any cell, hit enter (and then you'll have to come back up to the cell), highlight that cell, then click this button.  Immediately to the right of that cell, you will find the temperature, pressure and density normalized to standard sea-level values.</t>
        </r>
      </text>
    </comment>
    <comment ref="A6" authorId="1" shapeId="0" xr:uid="{00000000-0006-0000-0000-000004000000}">
      <text>
        <r>
          <rPr>
            <b/>
            <sz val="9"/>
            <color indexed="81"/>
            <rFont val="Tahoma"/>
            <family val="2"/>
          </rPr>
          <t>This is the geometric altitude. It is converted to geopotential altitude within the program</t>
        </r>
      </text>
    </comment>
    <comment ref="B6" authorId="1" shapeId="0" xr:uid="{00000000-0006-0000-0000-000005000000}">
      <text>
        <r>
          <rPr>
            <b/>
            <sz val="9"/>
            <color indexed="81"/>
            <rFont val="Tahoma"/>
            <family val="2"/>
          </rPr>
          <t>Ratio of temperature at this altitude to that at standard sea level (288.15K)</t>
        </r>
      </text>
    </comment>
    <comment ref="C6" authorId="1" shapeId="0" xr:uid="{00000000-0006-0000-0000-000006000000}">
      <text>
        <r>
          <rPr>
            <b/>
            <sz val="9"/>
            <color indexed="81"/>
            <rFont val="Tahoma"/>
            <family val="2"/>
          </rPr>
          <t>Ratio of pressure at this altitude to that at standard sea level (101.330 kiloPascal)</t>
        </r>
      </text>
    </comment>
    <comment ref="D6" authorId="1" shapeId="0" xr:uid="{00000000-0006-0000-0000-000007000000}">
      <text>
        <r>
          <rPr>
            <b/>
            <sz val="9"/>
            <color indexed="81"/>
            <rFont val="Tahoma"/>
            <family val="2"/>
          </rPr>
          <t>Ratio of density at this altitude to that at standard sea level (1.225 kg/m</t>
        </r>
        <r>
          <rPr>
            <b/>
            <vertAlign val="superscript"/>
            <sz val="9"/>
            <color indexed="81"/>
            <rFont val="Tahoma"/>
            <family val="2"/>
          </rPr>
          <t>3</t>
        </r>
        <r>
          <rPr>
            <b/>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Robert J. Ribando</author>
  </authors>
  <commentList>
    <comment ref="A1" authorId="0" shapeId="0" xr:uid="{00000000-0006-0000-0100-000001000000}">
      <text>
        <r>
          <rPr>
            <b/>
            <sz val="9"/>
            <color indexed="81"/>
            <rFont val="Tahoma"/>
            <family val="2"/>
          </rPr>
          <t>"htab" array from Carmichael F90 subroutine.  It corresponds to geopotential altitude in kilometers (km).  At low altitudes it is very close to the actual altitude, at high altitudes it will be slightly less because of the decrease in g, the acceleration of gravity, with altitude.  
Troposphere: &lt;~ 10 km
Stratosphere ~ 10 -45 km
Mesosphere   ~  45-95 km
Thermosphere ~ ~ 95 - 400 km
Exosphere &gt;~ 400 km
See: http://nssdc.gsfc.nasa.gov/space/model/atmos/about_atmos.html</t>
        </r>
      </text>
    </comment>
    <comment ref="B1" authorId="0" shapeId="0" xr:uid="{00000000-0006-0000-0100-000002000000}">
      <text>
        <r>
          <rPr>
            <b/>
            <sz val="9"/>
            <color indexed="81"/>
            <rFont val="Tahoma"/>
            <family val="2"/>
          </rPr>
          <t>"ttab" array from the Carmichael Fortran 90 subroutine.  Corresponds to temperature in degrees K at the geopotential altitude to the left.</t>
        </r>
      </text>
    </comment>
    <comment ref="C1" authorId="0" shapeId="0" xr:uid="{00000000-0006-0000-0100-000003000000}">
      <text>
        <r>
          <rPr>
            <b/>
            <sz val="9"/>
            <color indexed="81"/>
            <rFont val="Tahoma"/>
            <family val="2"/>
          </rPr>
          <t>"ptab" array from the Carmichael Fortran 90 subroutine. It is the pressure at this level divide by standard pressure at sea-level.</t>
        </r>
      </text>
    </comment>
    <comment ref="D1" authorId="0" shapeId="0" xr:uid="{00000000-0006-0000-0100-000004000000}">
      <text>
        <r>
          <rPr>
            <b/>
            <sz val="9"/>
            <color indexed="81"/>
            <rFont val="Tahoma"/>
            <family val="2"/>
          </rPr>
          <t>"gtab" array from the Carmichael Fortran 90 subroutine.   It is simply the rate of temperature change (lapse rate) between this level and the next in degrees K/kilometer, i.e., take difference between temperatures in Column B and divide by corresponding change in geometric altitude from Column A.</t>
        </r>
      </text>
    </comment>
    <comment ref="B2" authorId="0" shapeId="0" xr:uid="{00000000-0006-0000-0100-000005000000}">
      <text>
        <r>
          <rPr>
            <b/>
            <sz val="9"/>
            <color indexed="81"/>
            <rFont val="Tahoma"/>
            <family val="2"/>
          </rPr>
          <t>The range between 11 and 20 km corresponds to the tropopause (temperature constant)</t>
        </r>
      </text>
    </comment>
    <comment ref="A8" authorId="0" shapeId="0" xr:uid="{00000000-0006-0000-0100-000006000000}">
      <text>
        <r>
          <rPr>
            <b/>
            <sz val="10"/>
            <color indexed="81"/>
            <rFont val="Tahoma"/>
            <family val="2"/>
          </rPr>
          <t>This is the upper limit of the lower atmosphere (in geopotential height in km).  The lower atmosphere is divided into seven layers in this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University of Virginia SEAS</author>
  </authors>
  <commentList>
    <comment ref="K2" authorId="0" shapeId="0" xr:uid="{00000000-0006-0000-0200-000001000000}">
      <text>
        <r>
          <rPr>
            <b/>
            <sz val="9"/>
            <color indexed="81"/>
            <rFont val="Tahoma"/>
            <family val="2"/>
          </rPr>
          <t>Because of the gigantic change in density and pressure between sea level and 84 km, these two plots were made using a log scale.  It is easy to change them to linear.</t>
        </r>
      </text>
    </comment>
    <comment ref="B3" authorId="0" shapeId="0" xr:uid="{00000000-0006-0000-0200-000002000000}">
      <text>
        <r>
          <rPr>
            <b/>
            <sz val="9"/>
            <color indexed="81"/>
            <rFont val="Tahoma"/>
            <family val="2"/>
          </rPr>
          <t>This is the geometric altitude. It is converted to geopotential altitude within the program.</t>
        </r>
      </text>
    </comment>
    <comment ref="C3" authorId="0" shapeId="0" xr:uid="{00000000-0006-0000-0200-000003000000}">
      <text>
        <r>
          <rPr>
            <b/>
            <sz val="9"/>
            <color indexed="81"/>
            <rFont val="Tahoma"/>
            <family val="2"/>
          </rPr>
          <t>Ratio of temperature at this altitude to that at standard sea level (288.15K)</t>
        </r>
      </text>
    </comment>
    <comment ref="D3" authorId="0" shapeId="0" xr:uid="{00000000-0006-0000-0200-000004000000}">
      <text>
        <r>
          <rPr>
            <sz val="8"/>
            <color indexed="81"/>
            <rFont val="Tahoma"/>
            <family val="2"/>
          </rPr>
          <t>Ratio of pressure at this altitude to that at standard sea level (101.330 kiloPascal)</t>
        </r>
      </text>
    </comment>
    <comment ref="E3" authorId="0" shapeId="0" xr:uid="{00000000-0006-0000-0200-000005000000}">
      <text>
        <r>
          <rPr>
            <b/>
            <sz val="9"/>
            <color indexed="81"/>
            <rFont val="Tahoma"/>
            <family val="2"/>
          </rPr>
          <t>Ratio of density at this altitude to that at standard sea level (1.225 kg/m</t>
        </r>
        <r>
          <rPr>
            <b/>
            <vertAlign val="superscript"/>
            <sz val="9"/>
            <color indexed="81"/>
            <rFont val="Tahoma"/>
            <family val="2"/>
          </rPr>
          <t>3</t>
        </r>
        <r>
          <rPr>
            <b/>
            <sz val="9"/>
            <color indexed="81"/>
            <rFont val="Tahoma"/>
            <family val="2"/>
          </rPr>
          <t>)</t>
        </r>
      </text>
    </comment>
    <comment ref="G3" authorId="0" shapeId="0" xr:uid="{00000000-0006-0000-0200-000006000000}">
      <text>
        <r>
          <rPr>
            <b/>
            <sz val="9"/>
            <color indexed="81"/>
            <rFont val="Tahoma"/>
            <family val="2"/>
          </rPr>
          <t>Kilopascals</t>
        </r>
      </text>
    </comment>
    <comment ref="H3" authorId="0" shapeId="0" xr:uid="{00000000-0006-0000-0200-000007000000}">
      <text>
        <r>
          <rPr>
            <b/>
            <sz val="9"/>
            <color indexed="81"/>
            <rFont val="Tahoma"/>
            <family val="2"/>
          </rPr>
          <t>kg/m</t>
        </r>
        <r>
          <rPr>
            <b/>
            <vertAlign val="superscript"/>
            <sz val="9"/>
            <color indexed="81"/>
            <rFont val="Tahoma"/>
            <family val="2"/>
          </rPr>
          <t>3</t>
        </r>
      </text>
    </comment>
  </commentList>
</comments>
</file>

<file path=xl/sharedStrings.xml><?xml version="1.0" encoding="utf-8"?>
<sst xmlns="http://schemas.openxmlformats.org/spreadsheetml/2006/main" count="17" uniqueCount="13">
  <si>
    <t>1976 U.S. Standard Atmosphere</t>
  </si>
  <si>
    <t>T/To</t>
  </si>
  <si>
    <t>P/Po</t>
  </si>
  <si>
    <t>Alt. (km)</t>
  </si>
  <si>
    <t>D/Do</t>
  </si>
  <si>
    <t>Type an altitude (km) into any cell, highlight that cell, click Run it!</t>
  </si>
  <si>
    <t xml:space="preserve">Pressure </t>
  </si>
  <si>
    <t>Temp. (K)</t>
  </si>
  <si>
    <t>Density</t>
  </si>
  <si>
    <t>Plots of Temperature, Pressure and Density vs. Altitude</t>
  </si>
  <si>
    <t>This page is locked to protect the information in the table above</t>
  </si>
  <si>
    <t>The VBA code, which replaces Camichael's Fortran, is open for viewing.</t>
  </si>
  <si>
    <t>Theory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</si>
</sst>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E+00"/>
  </numFmts>
  <fonts count="11" x14ac:knownFonts="1">
    <font>
      <sz val="10"/>
      <name val="Arial"/>
    </font>
    <font>
      <b/>
      <sz val="10"/>
      <name val="Arial"/>
      <family val="2"/>
    </font>
    <font>
      <b/>
      <sz val="9"/>
      <color indexed="81"/>
      <name val="Tahoma"/>
      <family val="2"/>
    </font>
    <font>
      <b/>
      <sz val="10"/>
      <color indexed="81"/>
      <name val="Tahoma"/>
      <family val="2"/>
    </font>
    <font>
      <b/>
      <sz val="12"/>
      <name val="Arial"/>
      <family val="2"/>
    </font>
    <font>
      <sz val="8"/>
      <color indexed="81"/>
      <name val="Tahoma"/>
      <family val="2"/>
    </font>
    <font>
      <b/>
      <sz val="8"/>
      <color indexed="81"/>
      <name val="Tahoma"/>
      <family val="2"/>
    </font>
    <font>
      <b/>
      <vertAlign val="superscript"/>
      <sz val="9"/>
      <color indexed="81"/>
      <name val="Tahoma"/>
      <family val="2"/>
    </font>
    <font>
      <b/>
      <sz val="14"/>
      <name val="Arial"/>
      <family val="2"/>
    </font>
    <font>
      <u/>
      <sz val="10"/>
      <color theme="10"/>
      <name val="Arial"/>
      <family val="2"/>
    </font>
    <font>
      <u/>
      <sz val="14"/>
      <color theme="10"/>
      <name val="Arial"/>
      <family val="2"/>
    </font>
  </fonts>
  <fills count="4">
    <fill>
      <patternFill patternType="none"/>
    </fill>
    <fill>
      <patternFill patternType="gray125"/>
    </fill>
    <fill>
      <patternFill patternType="solid">
        <fgColor indexed="43"/>
        <bgColor indexed="64"/>
      </patternFill>
    </fill>
    <fill>
      <patternFill patternType="solid">
        <fgColor rgb="FFFFFF99"/>
        <bgColor indexed="64"/>
      </patternFill>
    </fill>
  </fills>
  <borders count="1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9" fillId="0" borderId="0" applyNumberFormat="0" applyFill="0" applyBorder="0" applyAlignment="0" applyProtection="0"/>
  </cellStyleXfs>
  <cellXfs count="29">
    <xf numFmtId="0" fontId="0" fillId="0" borderId="0" xfId="0"/>
    <xf numFmtId="0" fontId="1" fillId="0" borderId="0" xfId="0" applyFont="1"/>
    <xf numFmtId="0" fontId="0" fillId="0" borderId="6" xfId="0" applyBorder="1"/>
    <xf numFmtId="164" fontId="0" fillId="0" borderId="6" xfId="0" applyNumberFormat="1" applyBorder="1"/>
    <xf numFmtId="0" fontId="0" fillId="0" borderId="7" xfId="0" applyBorder="1"/>
    <xf numFmtId="0" fontId="0" fillId="0" borderId="8" xfId="0" applyBorder="1"/>
    <xf numFmtId="164" fontId="0" fillId="0" borderId="8" xfId="0" applyNumberFormat="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164" fontId="0" fillId="0" borderId="13" xfId="0" applyNumberFormat="1" applyBorder="1"/>
    <xf numFmtId="0" fontId="0" fillId="0" borderId="14" xfId="0" applyBorder="1"/>
    <xf numFmtId="0" fontId="4" fillId="0" borderId="0" xfId="0" applyFont="1"/>
    <xf numFmtId="0" fontId="10" fillId="0" borderId="15" xfId="1" applyFont="1" applyBorder="1"/>
    <xf numFmtId="0" fontId="8" fillId="2" borderId="1" xfId="0" applyFont="1" applyFill="1" applyBorder="1" applyAlignment="1">
      <alignment horizontal="center"/>
    </xf>
    <xf numFmtId="0" fontId="8" fillId="2" borderId="2" xfId="0" applyFont="1" applyFill="1" applyBorder="1" applyAlignment="1">
      <alignment horizontal="center"/>
    </xf>
    <xf numFmtId="0" fontId="8" fillId="2" borderId="3" xfId="0" applyFont="1" applyFill="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0" fillId="0" borderId="0" xfId="0"/>
    <xf numFmtId="0" fontId="1" fillId="0" borderId="0" xfId="0" applyFont="1" applyAlignment="1">
      <alignment horizontal="center"/>
    </xf>
    <xf numFmtId="0" fontId="4" fillId="3" borderId="1" xfId="0" applyFont="1" applyFill="1" applyBorder="1" applyAlignment="1">
      <alignment horizontal="center"/>
    </xf>
    <xf numFmtId="0" fontId="4" fillId="3" borderId="2" xfId="0" applyFont="1" applyFill="1" applyBorder="1" applyAlignment="1">
      <alignment horizontal="center"/>
    </xf>
    <xf numFmtId="0" fontId="4" fillId="3" borderId="3"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U.S. Standard Atmosphere: Temperature 
vs. Geopotential Altitude (km)</a:t>
            </a:r>
          </a:p>
        </c:rich>
      </c:tx>
      <c:layout>
        <c:manualLayout>
          <c:xMode val="edge"/>
          <c:yMode val="edge"/>
          <c:x val="0.20654044750430292"/>
          <c:y val="3.1100514798560387E-2"/>
        </c:manualLayout>
      </c:layout>
      <c:overlay val="0"/>
      <c:spPr>
        <a:noFill/>
        <a:ln w="25400">
          <a:noFill/>
        </a:ln>
      </c:spPr>
    </c:title>
    <c:autoTitleDeleted val="0"/>
    <c:plotArea>
      <c:layout>
        <c:manualLayout>
          <c:layoutTarget val="inner"/>
          <c:xMode val="edge"/>
          <c:yMode val="edge"/>
          <c:x val="0.12564543889845095"/>
          <c:y val="0.17464135233037756"/>
          <c:w val="0.81067125645438898"/>
          <c:h val="0.62679499055560162"/>
        </c:manualLayout>
      </c:layout>
      <c:scatterChart>
        <c:scatterStyle val="lineMarker"/>
        <c:varyColors val="0"/>
        <c:ser>
          <c:idx val="0"/>
          <c:order val="0"/>
          <c:tx>
            <c:v>Temperature vs. Geopotential Altitude (km)</c:v>
          </c:tx>
          <c:spPr>
            <a:ln w="25400">
              <a:solidFill>
                <a:srgbClr val="3366FF"/>
              </a:solidFill>
              <a:prstDash val="solid"/>
            </a:ln>
          </c:spPr>
          <c:marker>
            <c:symbol val="circle"/>
            <c:size val="6"/>
            <c:spPr>
              <a:noFill/>
              <a:ln>
                <a:solidFill>
                  <a:srgbClr val="FF0000"/>
                </a:solidFill>
                <a:prstDash val="solid"/>
              </a:ln>
            </c:spPr>
          </c:marker>
          <c:xVal>
            <c:numRef>
              <c:f>TabularData!$B$1:$B$8</c:f>
              <c:numCache>
                <c:formatCode>General</c:formatCode>
                <c:ptCount val="8"/>
                <c:pt idx="0">
                  <c:v>288.14999999999998</c:v>
                </c:pt>
                <c:pt idx="1">
                  <c:v>216.65</c:v>
                </c:pt>
                <c:pt idx="2">
                  <c:v>216.65</c:v>
                </c:pt>
                <c:pt idx="3">
                  <c:v>228.65</c:v>
                </c:pt>
                <c:pt idx="4">
                  <c:v>270.64999999999998</c:v>
                </c:pt>
                <c:pt idx="5">
                  <c:v>270.64999999999998</c:v>
                </c:pt>
                <c:pt idx="6">
                  <c:v>214.65</c:v>
                </c:pt>
                <c:pt idx="7">
                  <c:v>186.946</c:v>
                </c:pt>
              </c:numCache>
            </c:numRef>
          </c:xVal>
          <c:yVal>
            <c:numRef>
              <c:f>TabularData!$A$1:$A$8</c:f>
              <c:numCache>
                <c:formatCode>General</c:formatCode>
                <c:ptCount val="8"/>
                <c:pt idx="0">
                  <c:v>0</c:v>
                </c:pt>
                <c:pt idx="1">
                  <c:v>11</c:v>
                </c:pt>
                <c:pt idx="2">
                  <c:v>20</c:v>
                </c:pt>
                <c:pt idx="3">
                  <c:v>32</c:v>
                </c:pt>
                <c:pt idx="4">
                  <c:v>47</c:v>
                </c:pt>
                <c:pt idx="5">
                  <c:v>51</c:v>
                </c:pt>
                <c:pt idx="6">
                  <c:v>71</c:v>
                </c:pt>
                <c:pt idx="7">
                  <c:v>84.852000000000004</c:v>
                </c:pt>
              </c:numCache>
            </c:numRef>
          </c:yVal>
          <c:smooth val="0"/>
          <c:extLst>
            <c:ext xmlns:c16="http://schemas.microsoft.com/office/drawing/2014/chart" uri="{C3380CC4-5D6E-409C-BE32-E72D297353CC}">
              <c16:uniqueId val="{00000000-D8A3-40F7-8EE9-DE09AACE4CE5}"/>
            </c:ext>
          </c:extLst>
        </c:ser>
        <c:ser>
          <c:idx val="1"/>
          <c:order val="1"/>
          <c:spPr>
            <a:ln w="25400">
              <a:solidFill>
                <a:srgbClr val="FF0000"/>
              </a:solidFill>
              <a:prstDash val="solid"/>
            </a:ln>
          </c:spPr>
          <c:marker>
            <c:symbol val="diamond"/>
            <c:size val="11"/>
            <c:spPr>
              <a:solidFill>
                <a:srgbClr val="FF0000"/>
              </a:solidFill>
              <a:ln>
                <a:solidFill>
                  <a:srgbClr val="FF0000"/>
                </a:solidFill>
                <a:prstDash val="solid"/>
              </a:ln>
            </c:spPr>
          </c:marker>
          <c:xVal>
            <c:numRef>
              <c:f>TabularData!$B$18:$B$21</c:f>
              <c:numCache>
                <c:formatCode>General</c:formatCode>
                <c:ptCount val="4"/>
                <c:pt idx="0">
                  <c:v>162</c:v>
                </c:pt>
                <c:pt idx="1">
                  <c:v>162</c:v>
                </c:pt>
                <c:pt idx="2">
                  <c:v>162</c:v>
                </c:pt>
                <c:pt idx="3">
                  <c:v>162</c:v>
                </c:pt>
              </c:numCache>
            </c:numRef>
          </c:xVal>
          <c:yVal>
            <c:numRef>
              <c:f>TabularData!$C$18:$C$21</c:f>
              <c:numCache>
                <c:formatCode>General</c:formatCode>
                <c:ptCount val="4"/>
                <c:pt idx="0">
                  <c:v>0</c:v>
                </c:pt>
                <c:pt idx="1">
                  <c:v>10</c:v>
                </c:pt>
                <c:pt idx="2">
                  <c:v>45</c:v>
                </c:pt>
                <c:pt idx="3">
                  <c:v>95</c:v>
                </c:pt>
              </c:numCache>
            </c:numRef>
          </c:yVal>
          <c:smooth val="0"/>
          <c:extLst>
            <c:ext xmlns:c16="http://schemas.microsoft.com/office/drawing/2014/chart" uri="{C3380CC4-5D6E-409C-BE32-E72D297353CC}">
              <c16:uniqueId val="{00000001-D8A3-40F7-8EE9-DE09AACE4CE5}"/>
            </c:ext>
          </c:extLst>
        </c:ser>
        <c:dLbls>
          <c:showLegendKey val="0"/>
          <c:showVal val="0"/>
          <c:showCatName val="0"/>
          <c:showSerName val="0"/>
          <c:showPercent val="0"/>
          <c:showBubbleSize val="0"/>
        </c:dLbls>
        <c:axId val="420227152"/>
        <c:axId val="420232248"/>
      </c:scatterChart>
      <c:valAx>
        <c:axId val="420227152"/>
        <c:scaling>
          <c:orientation val="minMax"/>
          <c:max val="300"/>
          <c:min val="150"/>
        </c:scaling>
        <c:delete val="0"/>
        <c:axPos val="b"/>
        <c:majorGridlines>
          <c:spPr>
            <a:ln w="3175">
              <a:solidFill>
                <a:srgbClr val="969696"/>
              </a:solidFill>
              <a:prstDash val="solid"/>
            </a:ln>
          </c:spPr>
        </c:majorGridlines>
        <c:minorGridlines>
          <c:spPr>
            <a:ln w="3175">
              <a:solidFill>
                <a:srgbClr val="808080"/>
              </a:solidFill>
              <a:prstDash val="sysDash"/>
            </a:ln>
          </c:spPr>
        </c:minorGridlines>
        <c:title>
          <c:tx>
            <c:rich>
              <a:bodyPr/>
              <a:lstStyle/>
              <a:p>
                <a:pPr>
                  <a:defRPr sz="1175" b="1" i="0" u="none" strike="noStrike" baseline="0">
                    <a:solidFill>
                      <a:srgbClr val="000000"/>
                    </a:solidFill>
                    <a:latin typeface="Arial"/>
                    <a:ea typeface="Arial"/>
                    <a:cs typeface="Arial"/>
                  </a:defRPr>
                </a:pPr>
                <a:r>
                  <a:rPr lang="en-US"/>
                  <a:t>Temperature (K)</a:t>
                </a:r>
              </a:p>
            </c:rich>
          </c:tx>
          <c:layout>
            <c:manualLayout>
              <c:xMode val="edge"/>
              <c:yMode val="edge"/>
              <c:x val="0.41996557659208261"/>
              <c:y val="0.8947378872816603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1" i="0" u="none" strike="noStrike" baseline="0">
                <a:solidFill>
                  <a:srgbClr val="000000"/>
                </a:solidFill>
                <a:latin typeface="Arial"/>
                <a:ea typeface="Arial"/>
                <a:cs typeface="Arial"/>
              </a:defRPr>
            </a:pPr>
            <a:endParaRPr lang="en-US"/>
          </a:p>
        </c:txPr>
        <c:crossAx val="420232248"/>
        <c:crosses val="autoZero"/>
        <c:crossBetween val="midCat"/>
        <c:majorUnit val="50"/>
      </c:valAx>
      <c:valAx>
        <c:axId val="420232248"/>
        <c:scaling>
          <c:orientation val="minMax"/>
          <c:max val="90"/>
        </c:scaling>
        <c:delete val="0"/>
        <c:axPos val="l"/>
        <c:majorGridlines>
          <c:spPr>
            <a:ln w="3175">
              <a:solidFill>
                <a:srgbClr val="808080"/>
              </a:solidFill>
              <a:prstDash val="sysDash"/>
            </a:ln>
          </c:spPr>
        </c:majorGridlines>
        <c:title>
          <c:tx>
            <c:rich>
              <a:bodyPr/>
              <a:lstStyle/>
              <a:p>
                <a:pPr>
                  <a:defRPr sz="1175" b="1" i="0" u="none" strike="noStrike" baseline="0">
                    <a:solidFill>
                      <a:srgbClr val="000000"/>
                    </a:solidFill>
                    <a:latin typeface="Arial"/>
                    <a:ea typeface="Arial"/>
                    <a:cs typeface="Arial"/>
                  </a:defRPr>
                </a:pPr>
                <a:r>
                  <a:rPr lang="en-US"/>
                  <a:t>Geopotential Altitude (km)</a:t>
                </a:r>
              </a:p>
            </c:rich>
          </c:tx>
          <c:layout>
            <c:manualLayout>
              <c:xMode val="edge"/>
              <c:yMode val="edge"/>
              <c:x val="1.7211703958691909E-2"/>
              <c:y val="0.2464117710962861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1" i="0" u="none" strike="noStrike" baseline="0">
                <a:solidFill>
                  <a:srgbClr val="000000"/>
                </a:solidFill>
                <a:latin typeface="Arial"/>
                <a:ea typeface="Arial"/>
                <a:cs typeface="Arial"/>
              </a:defRPr>
            </a:pPr>
            <a:endParaRPr lang="en-US"/>
          </a:p>
        </c:txPr>
        <c:crossAx val="420227152"/>
        <c:crosses val="autoZero"/>
        <c:crossBetween val="midCat"/>
      </c:valAx>
      <c:spPr>
        <a:solidFill>
          <a:srgbClr val="C0C0C0"/>
        </a:solidFill>
        <a:ln w="12700">
          <a:solidFill>
            <a:srgbClr val="808080"/>
          </a:solidFill>
          <a:prstDash val="solid"/>
        </a:ln>
      </c:spPr>
    </c:plotArea>
    <c:plotVisOnly val="1"/>
    <c:dispBlanksAs val="gap"/>
    <c:showDLblsOverMax val="0"/>
  </c:chart>
  <c:spPr>
    <a:gradFill rotWithShape="0">
      <a:gsLst>
        <a:gs pos="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99CCFF" mc:Ignorable="a14" a14:legacySpreadsheetColorIndex="44"/>
        </a:gs>
      </a:gsLst>
      <a:lin ang="5400000" scaled="1"/>
    </a:gradFill>
    <a:ln w="19050">
      <a:solidFill>
        <a:schemeClr val="accent1">
          <a:lumMod val="75000"/>
        </a:schemeClr>
      </a:solidFill>
      <a:prstDash val="solid"/>
      <a:miter lim="800000"/>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1976 U.S. Standard Atmosphere: 
Pressure vs.  Altitude </a:t>
            </a:r>
          </a:p>
        </c:rich>
      </c:tx>
      <c:layout>
        <c:manualLayout>
          <c:xMode val="edge"/>
          <c:yMode val="edge"/>
          <c:x val="0.26537785588752194"/>
          <c:y val="7.277628032345014E-2"/>
        </c:manualLayout>
      </c:layout>
      <c:overlay val="0"/>
      <c:spPr>
        <a:noFill/>
        <a:ln w="25400">
          <a:noFill/>
        </a:ln>
      </c:spPr>
    </c:title>
    <c:autoTitleDeleted val="0"/>
    <c:plotArea>
      <c:layout>
        <c:manualLayout>
          <c:layoutTarget val="inner"/>
          <c:xMode val="edge"/>
          <c:yMode val="edge"/>
          <c:x val="0.15289982425307558"/>
          <c:y val="0.24528301886792453"/>
          <c:w val="0.69947275922671348"/>
          <c:h val="0.61994609164420489"/>
        </c:manualLayout>
      </c:layout>
      <c:scatterChart>
        <c:scatterStyle val="lineMarker"/>
        <c:varyColors val="0"/>
        <c:ser>
          <c:idx val="0"/>
          <c:order val="0"/>
          <c:tx>
            <c:strRef>
              <c:f>'Temperature,Pressure,Density'!$G$3</c:f>
              <c:strCache>
                <c:ptCount val="1"/>
                <c:pt idx="0">
                  <c:v>Pressure </c:v>
                </c:pt>
              </c:strCache>
            </c:strRef>
          </c:tx>
          <c:spPr>
            <a:ln w="25400">
              <a:solidFill>
                <a:srgbClr val="FF0000"/>
              </a:solidFill>
              <a:prstDash val="solid"/>
            </a:ln>
          </c:spPr>
          <c:marker>
            <c:symbol val="none"/>
          </c:marker>
          <c:xVal>
            <c:numRef>
              <c:f>'Temperature,Pressure,Density'!$G$4:$G$88</c:f>
              <c:numCache>
                <c:formatCode>General</c:formatCode>
                <c:ptCount val="85"/>
                <c:pt idx="0">
                  <c:v>101.33</c:v>
                </c:pt>
                <c:pt idx="1">
                  <c:v>89.88069378176931</c:v>
                </c:pt>
                <c:pt idx="2">
                  <c:v>79.505347059631347</c:v>
                </c:pt>
                <c:pt idx="3">
                  <c:v>70.124603130829385</c:v>
                </c:pt>
                <c:pt idx="4">
                  <c:v>61.663455679889211</c:v>
                </c:pt>
                <c:pt idx="5">
                  <c:v>54.050899767291575</c:v>
                </c:pt>
                <c:pt idx="6">
                  <c:v>47.219906179976462</c:v>
                </c:pt>
                <c:pt idx="7">
                  <c:v>41.107219642160594</c:v>
                </c:pt>
                <c:pt idx="8">
                  <c:v>35.653282800745025</c:v>
                </c:pt>
                <c:pt idx="9">
                  <c:v>30.802100989662851</c:v>
                </c:pt>
                <c:pt idx="10">
                  <c:v>26.501081728608778</c:v>
                </c:pt>
                <c:pt idx="11">
                  <c:v>22.700947828735682</c:v>
                </c:pt>
                <c:pt idx="12">
                  <c:v>19.400271854960963</c:v>
                </c:pt>
                <c:pt idx="13">
                  <c:v>16.58030966315075</c:v>
                </c:pt>
                <c:pt idx="14">
                  <c:v>14.170945105899763</c:v>
                </c:pt>
                <c:pt idx="15">
                  <c:v>12.112292514637439</c:v>
                </c:pt>
                <c:pt idx="16">
                  <c:v>10.353216776083199</c:v>
                </c:pt>
                <c:pt idx="17">
                  <c:v>8.8500465585833599</c:v>
                </c:pt>
                <c:pt idx="18">
                  <c:v>7.5654905791470073</c:v>
                </c:pt>
                <c:pt idx="19">
                  <c:v>6.4677028120477909</c:v>
                </c:pt>
                <c:pt idx="20">
                  <c:v>5.5294785537936759</c:v>
                </c:pt>
                <c:pt idx="21">
                  <c:v>4.7290783345791709</c:v>
                </c:pt>
                <c:pt idx="22">
                  <c:v>4.0476064083234009</c:v>
                </c:pt>
                <c:pt idx="23">
                  <c:v>3.4669541727428856</c:v>
                </c:pt>
                <c:pt idx="24">
                  <c:v>2.971815898206946</c:v>
                </c:pt>
                <c:pt idx="25">
                  <c:v>2.5492749278806084</c:v>
                </c:pt>
                <c:pt idx="26">
                  <c:v>2.188419001074128</c:v>
                </c:pt>
                <c:pt idx="27">
                  <c:v>1.880006549836702</c:v>
                </c:pt>
                <c:pt idx="28">
                  <c:v>1.6162199063266358</c:v>
                </c:pt>
                <c:pt idx="29">
                  <c:v>1.3904356819206205</c:v>
                </c:pt>
                <c:pt idx="30">
                  <c:v>1.1970434598333042</c:v>
                </c:pt>
                <c:pt idx="31">
                  <c:v>1.0312684183291856</c:v>
                </c:pt>
                <c:pt idx="32">
                  <c:v>0.88906718637860471</c:v>
                </c:pt>
                <c:pt idx="33">
                  <c:v>0.76731081224790743</c:v>
                </c:pt>
                <c:pt idx="34">
                  <c:v>0.66341241521290928</c:v>
                </c:pt>
                <c:pt idx="35">
                  <c:v>0.5745925386449604</c:v>
                </c:pt>
                <c:pt idx="36">
                  <c:v>0.4985198526685185</c:v>
                </c:pt>
                <c:pt idx="37">
                  <c:v>0.43324473749277109</c:v>
                </c:pt>
                <c:pt idx="38">
                  <c:v>0.37713459949329764</c:v>
                </c:pt>
                <c:pt idx="39">
                  <c:v>0.32881717574819747</c:v>
                </c:pt>
                <c:pt idx="40">
                  <c:v>0.28713930573909147</c:v>
                </c:pt>
                <c:pt idx="41">
                  <c:v>0.25112831660908325</c:v>
                </c:pt>
                <c:pt idx="42">
                  <c:v>0.21996250245678939</c:v>
                </c:pt>
                <c:pt idx="43">
                  <c:v>0.19294685385541144</c:v>
                </c:pt>
                <c:pt idx="44">
                  <c:v>0.16949208989406744</c:v>
                </c:pt>
                <c:pt idx="45">
                  <c:v>0.14909715188184966</c:v>
                </c:pt>
                <c:pt idx="46">
                  <c:v>0.13133661832643762</c:v>
                </c:pt>
                <c:pt idx="47">
                  <c:v>0.11584711564193798</c:v>
                </c:pt>
                <c:pt idx="48">
                  <c:v>0.10229183080656061</c:v>
                </c:pt>
                <c:pt idx="49">
                  <c:v>9.0333093344043144E-2</c:v>
                </c:pt>
                <c:pt idx="50">
                  <c:v>7.9775539848123259E-2</c:v>
                </c:pt>
                <c:pt idx="51">
                  <c:v>7.0454599546835348E-2</c:v>
                </c:pt>
                <c:pt idx="52">
                  <c:v>6.221151985802767E-2</c:v>
                </c:pt>
                <c:pt idx="53">
                  <c:v>5.4870521949019077E-2</c:v>
                </c:pt>
                <c:pt idx="54">
                  <c:v>4.8334600328710495E-2</c:v>
                </c:pt>
                <c:pt idx="55">
                  <c:v>4.252222293409235E-2</c:v>
                </c:pt>
                <c:pt idx="56">
                  <c:v>3.7359482158558464E-2</c:v>
                </c:pt>
                <c:pt idx="57">
                  <c:v>3.2779377007859704E-2</c:v>
                </c:pt>
                <c:pt idx="58">
                  <c:v>2.8721228693862372E-2</c:v>
                </c:pt>
                <c:pt idx="59">
                  <c:v>2.5130140441135145E-2</c:v>
                </c:pt>
                <c:pt idx="60">
                  <c:v>2.195651511097917E-2</c:v>
                </c:pt>
                <c:pt idx="61">
                  <c:v>1.9155526629244565E-2</c:v>
                </c:pt>
                <c:pt idx="62">
                  <c:v>1.6686800784901878E-2</c:v>
                </c:pt>
                <c:pt idx="63">
                  <c:v>1.4513951616259192E-2</c:v>
                </c:pt>
                <c:pt idx="64">
                  <c:v>1.2604250059310439E-2</c:v>
                </c:pt>
                <c:pt idx="65">
                  <c:v>1.0928251862216807E-2</c:v>
                </c:pt>
                <c:pt idx="66">
                  <c:v>9.4595568204630925E-3</c:v>
                </c:pt>
                <c:pt idx="67">
                  <c:v>8.1744791217621526E-3</c:v>
                </c:pt>
                <c:pt idx="68">
                  <c:v>7.0518301367144282E-3</c:v>
                </c:pt>
                <c:pt idx="69">
                  <c:v>6.0726461513757896E-3</c:v>
                </c:pt>
                <c:pt idx="70">
                  <c:v>5.2199732455230083E-3</c:v>
                </c:pt>
                <c:pt idx="71">
                  <c:v>4.4787286037940351E-3</c:v>
                </c:pt>
                <c:pt idx="72">
                  <c:v>3.8355037305388539E-3</c:v>
                </c:pt>
                <c:pt idx="73">
                  <c:v>3.2795477092291674E-3</c:v>
                </c:pt>
                <c:pt idx="74">
                  <c:v>2.8002597695883759E-3</c:v>
                </c:pt>
                <c:pt idx="75">
                  <c:v>2.3876094817836448E-3</c:v>
                </c:pt>
                <c:pt idx="76">
                  <c:v>2.0328180089042012E-3</c:v>
                </c:pt>
                <c:pt idx="77">
                  <c:v>1.7281861171085054E-3</c:v>
                </c:pt>
                <c:pt idx="78">
                  <c:v>1.4669957857024088E-3</c:v>
                </c:pt>
                <c:pt idx="79">
                  <c:v>1.2433688768823177E-3</c:v>
                </c:pt>
                <c:pt idx="80">
                  <c:v>1.0521838382846465E-3</c:v>
                </c:pt>
                <c:pt idx="81">
                  <c:v>8.8897711168491533E-4</c:v>
                </c:pt>
                <c:pt idx="82">
                  <c:v>7.498643226305689E-4</c:v>
                </c:pt>
                <c:pt idx="83">
                  <c:v>6.3147265620532359E-4</c:v>
                </c:pt>
                <c:pt idx="84">
                  <c:v>5.3087363929600465E-4</c:v>
                </c:pt>
              </c:numCache>
            </c:numRef>
          </c:xVal>
          <c:yVal>
            <c:numRef>
              <c:f>'Temperature,Pressure,Density'!$B$4:$B$88</c:f>
              <c:numCache>
                <c:formatCode>General</c:formatCode>
                <c:ptCount val="8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numCache>
            </c:numRef>
          </c:yVal>
          <c:smooth val="0"/>
          <c:extLst>
            <c:ext xmlns:c16="http://schemas.microsoft.com/office/drawing/2014/chart" uri="{C3380CC4-5D6E-409C-BE32-E72D297353CC}">
              <c16:uniqueId val="{00000000-EF31-47CA-8652-6B5709770814}"/>
            </c:ext>
          </c:extLst>
        </c:ser>
        <c:dLbls>
          <c:showLegendKey val="0"/>
          <c:showVal val="0"/>
          <c:showCatName val="0"/>
          <c:showSerName val="0"/>
          <c:showPercent val="0"/>
          <c:showBubbleSize val="0"/>
        </c:dLbls>
        <c:axId val="420229896"/>
        <c:axId val="420231464"/>
      </c:scatterChart>
      <c:valAx>
        <c:axId val="420229896"/>
        <c:scaling>
          <c:logBase val="10"/>
          <c:orientation val="minMax"/>
        </c:scaling>
        <c:delete val="0"/>
        <c:axPos val="b"/>
        <c:majorGridlines>
          <c:spPr>
            <a:ln w="3175">
              <a:solidFill>
                <a:srgbClr val="969696"/>
              </a:solidFill>
              <a:prstDash val="sysDash"/>
            </a:ln>
          </c:spPr>
        </c:majorGridlines>
        <c:minorGridlines>
          <c:spPr>
            <a:ln w="3175">
              <a:solidFill>
                <a:srgbClr val="969696"/>
              </a:solidFill>
              <a:prstDash val="sysDash"/>
            </a:ln>
          </c:spPr>
        </c:minorGridlines>
        <c:title>
          <c:tx>
            <c:rich>
              <a:bodyPr/>
              <a:lstStyle/>
              <a:p>
                <a:pPr>
                  <a:defRPr sz="1050" b="1" i="0" u="none" strike="noStrike" baseline="0">
                    <a:solidFill>
                      <a:srgbClr val="000000"/>
                    </a:solidFill>
                    <a:latin typeface="Arial"/>
                    <a:ea typeface="Arial"/>
                    <a:cs typeface="Arial"/>
                  </a:defRPr>
                </a:pPr>
                <a:r>
                  <a:rPr lang="en-US"/>
                  <a:t>Pressure (kPa)</a:t>
                </a:r>
              </a:p>
            </c:rich>
          </c:tx>
          <c:layout>
            <c:manualLayout>
              <c:xMode val="edge"/>
              <c:yMode val="edge"/>
              <c:x val="0.4094903339191564"/>
              <c:y val="0.9245283018867924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420231464"/>
        <c:crosses val="autoZero"/>
        <c:crossBetween val="midCat"/>
      </c:valAx>
      <c:valAx>
        <c:axId val="420231464"/>
        <c:scaling>
          <c:orientation val="minMax"/>
        </c:scaling>
        <c:delete val="0"/>
        <c:axPos val="l"/>
        <c:majorGridlines>
          <c:spPr>
            <a:ln w="3175">
              <a:solidFill>
                <a:srgbClr val="969696"/>
              </a:solidFill>
              <a:prstDash val="sysDash"/>
            </a:ln>
          </c:spPr>
        </c:majorGridlines>
        <c:title>
          <c:tx>
            <c:rich>
              <a:bodyPr/>
              <a:lstStyle/>
              <a:p>
                <a:pPr>
                  <a:defRPr sz="1050" b="1" i="0" u="none" strike="noStrike" baseline="0">
                    <a:solidFill>
                      <a:srgbClr val="000000"/>
                    </a:solidFill>
                    <a:latin typeface="Arial"/>
                    <a:ea typeface="Arial"/>
                    <a:cs typeface="Arial"/>
                  </a:defRPr>
                </a:pPr>
                <a:r>
                  <a:rPr lang="en-US"/>
                  <a:t> Altitude (km)</a:t>
                </a:r>
              </a:p>
            </c:rich>
          </c:tx>
          <c:layout>
            <c:manualLayout>
              <c:xMode val="edge"/>
              <c:yMode val="edge"/>
              <c:x val="6.1511423550087874E-2"/>
              <c:y val="0.4258760107816711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420229896"/>
        <c:crossesAt val="1E-4"/>
        <c:crossBetween val="midCat"/>
      </c:valAx>
      <c:spPr>
        <a:solidFill>
          <a:srgbClr val="C0C0C0"/>
        </a:solidFill>
        <a:ln w="12700">
          <a:solidFill>
            <a:srgbClr val="808080"/>
          </a:solidFill>
          <a:prstDash val="solid"/>
        </a:ln>
      </c:spPr>
    </c:plotArea>
    <c:plotVisOnly val="1"/>
    <c:dispBlanksAs val="gap"/>
    <c:showDLblsOverMax val="0"/>
  </c:chart>
  <c:spPr>
    <a:gradFill rotWithShape="0">
      <a:gsLst>
        <a:gs pos="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99CCFF" mc:Ignorable="a14" a14:legacySpreadsheetColorIndex="44"/>
        </a:gs>
      </a:gsLst>
      <a:lin ang="5400000" scaled="1"/>
    </a:gra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1976 U.S. Standard Atmosphere:
Temperature vs. Altitude</a:t>
            </a:r>
          </a:p>
        </c:rich>
      </c:tx>
      <c:layout>
        <c:manualLayout>
          <c:xMode val="edge"/>
          <c:yMode val="edge"/>
          <c:x val="0.23758124407444239"/>
          <c:y val="5.7692385082719518E-2"/>
        </c:manualLayout>
      </c:layout>
      <c:overlay val="0"/>
      <c:spPr>
        <a:noFill/>
        <a:ln w="25400">
          <a:noFill/>
        </a:ln>
      </c:spPr>
    </c:title>
    <c:autoTitleDeleted val="0"/>
    <c:plotArea>
      <c:layout>
        <c:manualLayout>
          <c:layoutTarget val="inner"/>
          <c:xMode val="edge"/>
          <c:yMode val="edge"/>
          <c:x val="0.13174959898673624"/>
          <c:y val="0.24450582249343034"/>
          <c:w val="0.8142557183278617"/>
          <c:h val="0.57692385082719511"/>
        </c:manualLayout>
      </c:layout>
      <c:scatterChart>
        <c:scatterStyle val="lineMarker"/>
        <c:varyColors val="0"/>
        <c:ser>
          <c:idx val="0"/>
          <c:order val="0"/>
          <c:spPr>
            <a:ln w="25400">
              <a:solidFill>
                <a:srgbClr val="FF0000"/>
              </a:solidFill>
              <a:prstDash val="solid"/>
            </a:ln>
          </c:spPr>
          <c:marker>
            <c:symbol val="none"/>
          </c:marker>
          <c:xVal>
            <c:numRef>
              <c:f>'Temperature,Pressure,Density'!$F$4:$F$88</c:f>
              <c:numCache>
                <c:formatCode>General</c:formatCode>
                <c:ptCount val="85"/>
                <c:pt idx="0">
                  <c:v>288.14999389648438</c:v>
                </c:pt>
                <c:pt idx="1">
                  <c:v>281.6510009765625</c:v>
                </c:pt>
                <c:pt idx="2">
                  <c:v>275.15408325195313</c:v>
                </c:pt>
                <c:pt idx="3">
                  <c:v>268.6591796875</c:v>
                </c:pt>
                <c:pt idx="4">
                  <c:v>262.16632080078125</c:v>
                </c:pt>
                <c:pt idx="5">
                  <c:v>255.67549133300781</c:v>
                </c:pt>
                <c:pt idx="6">
                  <c:v>249.18670654296875</c:v>
                </c:pt>
                <c:pt idx="7">
                  <c:v>242.699951171875</c:v>
                </c:pt>
                <c:pt idx="8">
                  <c:v>236.21522521972656</c:v>
                </c:pt>
                <c:pt idx="9">
                  <c:v>229.7325439453125</c:v>
                </c:pt>
                <c:pt idx="10">
                  <c:v>223.25189208984375</c:v>
                </c:pt>
                <c:pt idx="11">
                  <c:v>216.77326965332031</c:v>
                </c:pt>
                <c:pt idx="12">
                  <c:v>216.64999389648438</c:v>
                </c:pt>
                <c:pt idx="13">
                  <c:v>216.64999389648438</c:v>
                </c:pt>
                <c:pt idx="14">
                  <c:v>216.64999389648438</c:v>
                </c:pt>
                <c:pt idx="15">
                  <c:v>216.64999389648438</c:v>
                </c:pt>
                <c:pt idx="16">
                  <c:v>216.64999389648438</c:v>
                </c:pt>
                <c:pt idx="17">
                  <c:v>216.64999389648438</c:v>
                </c:pt>
                <c:pt idx="18">
                  <c:v>216.64999389648438</c:v>
                </c:pt>
                <c:pt idx="19">
                  <c:v>216.64999389648438</c:v>
                </c:pt>
                <c:pt idx="20">
                  <c:v>216.64999389648438</c:v>
                </c:pt>
                <c:pt idx="21">
                  <c:v>217.58097839355469</c:v>
                </c:pt>
                <c:pt idx="22">
                  <c:v>218.57426452636719</c:v>
                </c:pt>
                <c:pt idx="23">
                  <c:v>219.56723022460938</c:v>
                </c:pt>
                <c:pt idx="24">
                  <c:v>220.55989074707031</c:v>
                </c:pt>
                <c:pt idx="25">
                  <c:v>221.55224609375</c:v>
                </c:pt>
                <c:pt idx="26">
                  <c:v>222.54428100585938</c:v>
                </c:pt>
                <c:pt idx="27">
                  <c:v>223.5360107421875</c:v>
                </c:pt>
                <c:pt idx="28">
                  <c:v>224.52743530273438</c:v>
                </c:pt>
                <c:pt idx="29">
                  <c:v>225.5185546875</c:v>
                </c:pt>
                <c:pt idx="30">
                  <c:v>226.50933837890625</c:v>
                </c:pt>
                <c:pt idx="31">
                  <c:v>227.49983215332031</c:v>
                </c:pt>
                <c:pt idx="32">
                  <c:v>228.49002075195313</c:v>
                </c:pt>
                <c:pt idx="33">
                  <c:v>230.97369384765625</c:v>
                </c:pt>
                <c:pt idx="34">
                  <c:v>233.74447631835938</c:v>
                </c:pt>
                <c:pt idx="35">
                  <c:v>236.51438903808594</c:v>
                </c:pt>
                <c:pt idx="36">
                  <c:v>239.28343200683594</c:v>
                </c:pt>
                <c:pt idx="37">
                  <c:v>242.05162048339844</c:v>
                </c:pt>
                <c:pt idx="38">
                  <c:v>244.81892395019531</c:v>
                </c:pt>
                <c:pt idx="39">
                  <c:v>247.58538818359375</c:v>
                </c:pt>
                <c:pt idx="40">
                  <c:v>250.35098266601563</c:v>
                </c:pt>
                <c:pt idx="41">
                  <c:v>253.11570739746094</c:v>
                </c:pt>
                <c:pt idx="42">
                  <c:v>255.87957763671875</c:v>
                </c:pt>
                <c:pt idx="43">
                  <c:v>258.642578125</c:v>
                </c:pt>
                <c:pt idx="44">
                  <c:v>261.40469360351563</c:v>
                </c:pt>
                <c:pt idx="45">
                  <c:v>264.16598510742188</c:v>
                </c:pt>
                <c:pt idx="46">
                  <c:v>266.9263916015625</c:v>
                </c:pt>
                <c:pt idx="47">
                  <c:v>269.68597412109375</c:v>
                </c:pt>
                <c:pt idx="48">
                  <c:v>270.64999389648438</c:v>
                </c:pt>
                <c:pt idx="49">
                  <c:v>270.64999389648438</c:v>
                </c:pt>
                <c:pt idx="50">
                  <c:v>270.64999389648438</c:v>
                </c:pt>
                <c:pt idx="51">
                  <c:v>270.64999389648438</c:v>
                </c:pt>
                <c:pt idx="52">
                  <c:v>269.02914428710938</c:v>
                </c:pt>
                <c:pt idx="53">
                  <c:v>266.27471923828125</c:v>
                </c:pt>
                <c:pt idx="54">
                  <c:v>263.52117919921875</c:v>
                </c:pt>
                <c:pt idx="55">
                  <c:v>260.76849365234375</c:v>
                </c:pt>
                <c:pt idx="56">
                  <c:v>258.01666259765625</c:v>
                </c:pt>
                <c:pt idx="57">
                  <c:v>255.26568603515625</c:v>
                </c:pt>
                <c:pt idx="58">
                  <c:v>252.51556396484375</c:v>
                </c:pt>
                <c:pt idx="59">
                  <c:v>249.76629638671875</c:v>
                </c:pt>
                <c:pt idx="60">
                  <c:v>247.01789855957028</c:v>
                </c:pt>
                <c:pt idx="61">
                  <c:v>244.27033996582031</c:v>
                </c:pt>
                <c:pt idx="62">
                  <c:v>241.52363586425781</c:v>
                </c:pt>
                <c:pt idx="63">
                  <c:v>238.77778625488281</c:v>
                </c:pt>
                <c:pt idx="64">
                  <c:v>236.03280639648438</c:v>
                </c:pt>
                <c:pt idx="65">
                  <c:v>233.2886657714844</c:v>
                </c:pt>
                <c:pt idx="66">
                  <c:v>230.54537963867188</c:v>
                </c:pt>
                <c:pt idx="67">
                  <c:v>227.80293273925781</c:v>
                </c:pt>
                <c:pt idx="68">
                  <c:v>225.06135559082031</c:v>
                </c:pt>
                <c:pt idx="69">
                  <c:v>222.32064819335938</c:v>
                </c:pt>
                <c:pt idx="70">
                  <c:v>219.58074951171875</c:v>
                </c:pt>
                <c:pt idx="71">
                  <c:v>216.84172058105469</c:v>
                </c:pt>
                <c:pt idx="72">
                  <c:v>214.25968933105469</c:v>
                </c:pt>
                <c:pt idx="73">
                  <c:v>212.304443359375</c:v>
                </c:pt>
                <c:pt idx="74">
                  <c:v>210.34982299804688</c:v>
                </c:pt>
                <c:pt idx="75">
                  <c:v>208.39579772949219</c:v>
                </c:pt>
                <c:pt idx="76">
                  <c:v>206.44239807128909</c:v>
                </c:pt>
                <c:pt idx="77">
                  <c:v>204.48957824707031</c:v>
                </c:pt>
                <c:pt idx="78">
                  <c:v>202.53738403320315</c:v>
                </c:pt>
                <c:pt idx="79">
                  <c:v>200.58578491210938</c:v>
                </c:pt>
                <c:pt idx="80">
                  <c:v>198.63479614257813</c:v>
                </c:pt>
                <c:pt idx="81">
                  <c:v>196.68441772460938</c:v>
                </c:pt>
                <c:pt idx="82">
                  <c:v>194.73463439941406</c:v>
                </c:pt>
                <c:pt idx="83">
                  <c:v>192.78546142578125</c:v>
                </c:pt>
                <c:pt idx="84">
                  <c:v>190.83688354492188</c:v>
                </c:pt>
              </c:numCache>
            </c:numRef>
          </c:xVal>
          <c:yVal>
            <c:numRef>
              <c:f>'Temperature,Pressure,Density'!$B$4:$B$88</c:f>
              <c:numCache>
                <c:formatCode>General</c:formatCode>
                <c:ptCount val="8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numCache>
            </c:numRef>
          </c:yVal>
          <c:smooth val="0"/>
          <c:extLst>
            <c:ext xmlns:c16="http://schemas.microsoft.com/office/drawing/2014/chart" uri="{C3380CC4-5D6E-409C-BE32-E72D297353CC}">
              <c16:uniqueId val="{00000000-CE71-42EB-9EF6-913B8E967484}"/>
            </c:ext>
          </c:extLst>
        </c:ser>
        <c:dLbls>
          <c:showLegendKey val="0"/>
          <c:showVal val="0"/>
          <c:showCatName val="0"/>
          <c:showSerName val="0"/>
          <c:showPercent val="0"/>
          <c:showBubbleSize val="0"/>
        </c:dLbls>
        <c:axId val="420228720"/>
        <c:axId val="420229504"/>
      </c:scatterChart>
      <c:valAx>
        <c:axId val="420228720"/>
        <c:scaling>
          <c:orientation val="minMax"/>
          <c:max val="300"/>
          <c:min val="150"/>
        </c:scaling>
        <c:delete val="0"/>
        <c:axPos val="b"/>
        <c:majorGridlines>
          <c:spPr>
            <a:ln w="3175">
              <a:solidFill>
                <a:srgbClr val="969696"/>
              </a:solidFill>
              <a:prstDash val="sysDash"/>
            </a:ln>
          </c:spPr>
        </c:majorGridlines>
        <c:minorGridlines>
          <c:spPr>
            <a:ln w="3175">
              <a:solidFill>
                <a:srgbClr val="969696"/>
              </a:solidFill>
              <a:prstDash val="sysDash"/>
            </a:ln>
          </c:spPr>
        </c:minorGridlines>
        <c:title>
          <c:tx>
            <c:rich>
              <a:bodyPr/>
              <a:lstStyle/>
              <a:p>
                <a:pPr>
                  <a:defRPr sz="950" b="1" i="0" u="none" strike="noStrike" baseline="0">
                    <a:solidFill>
                      <a:srgbClr val="000000"/>
                    </a:solidFill>
                    <a:latin typeface="Arial"/>
                    <a:ea typeface="Arial"/>
                    <a:cs typeface="Arial"/>
                  </a:defRPr>
                </a:pPr>
                <a:r>
                  <a:rPr lang="en-US"/>
                  <a:t>Temperature (K)</a:t>
                </a:r>
              </a:p>
            </c:rich>
          </c:tx>
          <c:layout>
            <c:manualLayout>
              <c:xMode val="edge"/>
              <c:yMode val="edge"/>
              <c:x val="0.42332658035082465"/>
              <c:y val="0.8956055969984076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1" i="0" u="none" strike="noStrike" baseline="0">
                <a:solidFill>
                  <a:srgbClr val="000000"/>
                </a:solidFill>
                <a:latin typeface="Arial"/>
                <a:ea typeface="Arial"/>
                <a:cs typeface="Arial"/>
              </a:defRPr>
            </a:pPr>
            <a:endParaRPr lang="en-US"/>
          </a:p>
        </c:txPr>
        <c:crossAx val="420229504"/>
        <c:crosses val="autoZero"/>
        <c:crossBetween val="midCat"/>
        <c:majorUnit val="50"/>
      </c:valAx>
      <c:valAx>
        <c:axId val="420229504"/>
        <c:scaling>
          <c:orientation val="minMax"/>
        </c:scaling>
        <c:delete val="0"/>
        <c:axPos val="l"/>
        <c:majorGridlines>
          <c:spPr>
            <a:ln w="3175">
              <a:solidFill>
                <a:srgbClr val="969696"/>
              </a:solidFill>
              <a:prstDash val="sysDash"/>
            </a:ln>
          </c:spPr>
        </c:majorGridlines>
        <c:title>
          <c:tx>
            <c:rich>
              <a:bodyPr/>
              <a:lstStyle/>
              <a:p>
                <a:pPr>
                  <a:defRPr sz="950" b="1" i="0" u="none" strike="noStrike" baseline="0">
                    <a:solidFill>
                      <a:srgbClr val="000000"/>
                    </a:solidFill>
                    <a:latin typeface="Arial"/>
                    <a:ea typeface="Arial"/>
                    <a:cs typeface="Arial"/>
                  </a:defRPr>
                </a:pPr>
                <a:r>
                  <a:rPr lang="en-US"/>
                  <a:t>Altitude (km)</a:t>
                </a:r>
              </a:p>
            </c:rich>
          </c:tx>
          <c:layout>
            <c:manualLayout>
              <c:xMode val="edge"/>
              <c:yMode val="edge"/>
              <c:x val="3.455727186537344E-2"/>
              <c:y val="0.417582977741588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1" i="0" u="none" strike="noStrike" baseline="0">
                <a:solidFill>
                  <a:srgbClr val="000000"/>
                </a:solidFill>
                <a:latin typeface="Arial"/>
                <a:ea typeface="Arial"/>
                <a:cs typeface="Arial"/>
              </a:defRPr>
            </a:pPr>
            <a:endParaRPr lang="en-US"/>
          </a:p>
        </c:txPr>
        <c:crossAx val="420228720"/>
        <c:crosses val="autoZero"/>
        <c:crossBetween val="midCat"/>
      </c:valAx>
      <c:spPr>
        <a:solidFill>
          <a:srgbClr val="C0C0C0"/>
        </a:solidFill>
        <a:ln w="12700">
          <a:solidFill>
            <a:srgbClr val="808080"/>
          </a:solidFill>
          <a:prstDash val="solid"/>
        </a:ln>
      </c:spPr>
    </c:plotArea>
    <c:plotVisOnly val="1"/>
    <c:dispBlanksAs val="gap"/>
    <c:showDLblsOverMax val="0"/>
  </c:chart>
  <c:spPr>
    <a:gradFill rotWithShape="0">
      <a:gsLst>
        <a:gs pos="0">
          <a:srgbClr xmlns:mc="http://schemas.openxmlformats.org/markup-compatibility/2006" xmlns:a14="http://schemas.microsoft.com/office/drawing/2010/main" val="FFFFFF" mc:Ignorable="a14" a14:legacySpreadsheetColorIndex="65"/>
        </a:gs>
        <a:gs pos="100000">
          <a:srgbClr xmlns:mc="http://schemas.openxmlformats.org/markup-compatibility/2006" xmlns:a14="http://schemas.microsoft.com/office/drawing/2010/main" val="99CCFF" mc:Ignorable="a14" a14:legacySpreadsheetColorIndex="44"/>
        </a:gs>
      </a:gsLst>
      <a:lin ang="5400000" scaled="1"/>
    </a:gra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1976 U.S. Standard Atmosphere:
 Density vs. Altitude </a:t>
            </a:r>
          </a:p>
        </c:rich>
      </c:tx>
      <c:layout>
        <c:manualLayout>
          <c:xMode val="edge"/>
          <c:yMode val="edge"/>
          <c:x val="0.25591451594950426"/>
          <c:y val="7.763986928600132E-2"/>
        </c:manualLayout>
      </c:layout>
      <c:overlay val="0"/>
      <c:spPr>
        <a:noFill/>
        <a:ln w="25400">
          <a:noFill/>
        </a:ln>
      </c:spPr>
    </c:title>
    <c:autoTitleDeleted val="0"/>
    <c:plotArea>
      <c:layout>
        <c:manualLayout>
          <c:layoutTarget val="inner"/>
          <c:xMode val="edge"/>
          <c:yMode val="edge"/>
          <c:x val="0.13118307120100639"/>
          <c:y val="0.26708115034384455"/>
          <c:w val="0.79355005365854681"/>
          <c:h val="0.53105670591624898"/>
        </c:manualLayout>
      </c:layout>
      <c:scatterChart>
        <c:scatterStyle val="lineMarker"/>
        <c:varyColors val="0"/>
        <c:ser>
          <c:idx val="0"/>
          <c:order val="0"/>
          <c:tx>
            <c:strRef>
              <c:f>'Temperature,Pressure,Density'!$H$3</c:f>
              <c:strCache>
                <c:ptCount val="1"/>
                <c:pt idx="0">
                  <c:v>Density</c:v>
                </c:pt>
              </c:strCache>
            </c:strRef>
          </c:tx>
          <c:spPr>
            <a:ln w="25400">
              <a:solidFill>
                <a:srgbClr val="FF0000"/>
              </a:solidFill>
              <a:prstDash val="solid"/>
            </a:ln>
          </c:spPr>
          <c:marker>
            <c:symbol val="none"/>
          </c:marker>
          <c:xVal>
            <c:numRef>
              <c:f>'Temperature,Pressure,Density'!$H$4:$H$88</c:f>
              <c:numCache>
                <c:formatCode>General</c:formatCode>
                <c:ptCount val="85"/>
                <c:pt idx="0">
                  <c:v>1.2250000259476204</c:v>
                </c:pt>
                <c:pt idx="1">
                  <c:v>1.1116595083097021</c:v>
                </c:pt>
                <c:pt idx="2">
                  <c:v>1.0065539225095435</c:v>
                </c:pt>
                <c:pt idx="3">
                  <c:v>0.90925438043653994</c:v>
                </c:pt>
                <c:pt idx="4">
                  <c:v>0.81934655123032318</c:v>
                </c:pt>
                <c:pt idx="5">
                  <c:v>0.73642834939254898</c:v>
                </c:pt>
                <c:pt idx="6">
                  <c:v>0.66011092377614178</c:v>
                </c:pt>
                <c:pt idx="7">
                  <c:v>0.59001776010808127</c:v>
                </c:pt>
                <c:pt idx="8">
                  <c:v>0.52578513962775653</c:v>
                </c:pt>
                <c:pt idx="9">
                  <c:v>0.46706195047321331</c:v>
                </c:pt>
                <c:pt idx="10">
                  <c:v>0.41350914925057125</c:v>
                </c:pt>
                <c:pt idx="11">
                  <c:v>0.36480008623128091</c:v>
                </c:pt>
                <c:pt idx="12">
                  <c:v>0.3119362195837837</c:v>
                </c:pt>
                <c:pt idx="13">
                  <c:v>0.26659415674781689</c:v>
                </c:pt>
                <c:pt idx="14">
                  <c:v>0.2278540773712569</c:v>
                </c:pt>
                <c:pt idx="15">
                  <c:v>0.19475308210914585</c:v>
                </c:pt>
                <c:pt idx="16">
                  <c:v>0.16646897145603431</c:v>
                </c:pt>
                <c:pt idx="17">
                  <c:v>0.14229955576210265</c:v>
                </c:pt>
                <c:pt idx="18">
                  <c:v>0.12164522993281511</c:v>
                </c:pt>
                <c:pt idx="19">
                  <c:v>0.1039939429542419</c:v>
                </c:pt>
                <c:pt idx="20">
                  <c:v>8.8908271452852669E-2</c:v>
                </c:pt>
                <c:pt idx="21">
                  <c:v>7.5713313433166174E-2</c:v>
                </c:pt>
                <c:pt idx="22">
                  <c:v>6.4508347840413122E-2</c:v>
                </c:pt>
                <c:pt idx="23">
                  <c:v>5.5004376688931295E-2</c:v>
                </c:pt>
                <c:pt idx="24">
                  <c:v>4.6936643962622426E-2</c:v>
                </c:pt>
                <c:pt idx="25">
                  <c:v>4.0082720228553997E-2</c:v>
                </c:pt>
                <c:pt idx="26">
                  <c:v>3.4255531374098327E-2</c:v>
                </c:pt>
                <c:pt idx="27">
                  <c:v>2.9297363271179648E-2</c:v>
                </c:pt>
                <c:pt idx="28">
                  <c:v>2.5075390548115393E-2</c:v>
                </c:pt>
                <c:pt idx="29">
                  <c:v>2.1477577494110129E-2</c:v>
                </c:pt>
                <c:pt idx="30">
                  <c:v>1.8409435709928704E-2</c:v>
                </c:pt>
                <c:pt idx="31">
                  <c:v>1.5790915423928957E-2</c:v>
                </c:pt>
                <c:pt idx="32">
                  <c:v>1.3554515997994964E-2</c:v>
                </c:pt>
                <c:pt idx="33">
                  <c:v>1.1572454129963763E-2</c:v>
                </c:pt>
                <c:pt idx="34">
                  <c:v>9.8868719166874969E-3</c:v>
                </c:pt>
                <c:pt idx="35">
                  <c:v>8.4628975747019289E-3</c:v>
                </c:pt>
                <c:pt idx="36">
                  <c:v>7.2574908820193405E-3</c:v>
                </c:pt>
                <c:pt idx="37">
                  <c:v>6.235079160270122E-3</c:v>
                </c:pt>
                <c:pt idx="38">
                  <c:v>5.3662149266073605E-3</c:v>
                </c:pt>
                <c:pt idx="39">
                  <c:v>4.6264316945616958E-3</c:v>
                </c:pt>
                <c:pt idx="40">
                  <c:v>3.9953977025181091E-3</c:v>
                </c:pt>
                <c:pt idx="41">
                  <c:v>3.4561553778544867E-3</c:v>
                </c:pt>
                <c:pt idx="42">
                  <c:v>2.9945370906861216E-3</c:v>
                </c:pt>
                <c:pt idx="43">
                  <c:v>2.5986892554874476E-3</c:v>
                </c:pt>
                <c:pt idx="44">
                  <c:v>2.2586696876612735E-3</c:v>
                </c:pt>
                <c:pt idx="45">
                  <c:v>1.9661159289433945E-3</c:v>
                </c:pt>
                <c:pt idx="46">
                  <c:v>1.7140006576487523E-3</c:v>
                </c:pt>
                <c:pt idx="47">
                  <c:v>1.496385650842802E-3</c:v>
                </c:pt>
                <c:pt idx="48">
                  <c:v>1.3165871134212012E-3</c:v>
                </c:pt>
                <c:pt idx="49">
                  <c:v>1.1626674943099552E-3</c:v>
                </c:pt>
                <c:pt idx="50">
                  <c:v>1.0267823627957034E-3</c:v>
                </c:pt>
                <c:pt idx="51">
                  <c:v>9.0681354623545728E-4</c:v>
                </c:pt>
                <c:pt idx="52">
                  <c:v>8.0554193001922505E-4</c:v>
                </c:pt>
                <c:pt idx="53">
                  <c:v>7.1783697716756704E-4</c:v>
                </c:pt>
                <c:pt idx="54">
                  <c:v>6.3893882181697366E-4</c:v>
                </c:pt>
                <c:pt idx="55">
                  <c:v>5.680381596976609E-4</c:v>
                </c:pt>
                <c:pt idx="56">
                  <c:v>5.0439382879190924E-4</c:v>
                </c:pt>
                <c:pt idx="57">
                  <c:v>4.4732680842042745E-4</c:v>
                </c:pt>
                <c:pt idx="58">
                  <c:v>3.962155661879823E-4</c:v>
                </c:pt>
                <c:pt idx="59">
                  <c:v>3.5049171107223059E-4</c:v>
                </c:pt>
                <c:pt idx="60">
                  <c:v>3.0963614956638089E-4</c:v>
                </c:pt>
                <c:pt idx="61">
                  <c:v>2.7317441980806949E-4</c:v>
                </c:pt>
                <c:pt idx="62">
                  <c:v>2.4067451939959058E-4</c:v>
                </c:pt>
                <c:pt idx="63">
                  <c:v>2.1174268677256677E-4</c:v>
                </c:pt>
                <c:pt idx="64">
                  <c:v>1.8602071551701913E-4</c:v>
                </c:pt>
                <c:pt idx="65">
                  <c:v>1.6318255407135029E-4</c:v>
                </c:pt>
                <c:pt idx="66">
                  <c:v>1.4293251557125669E-4</c:v>
                </c:pt>
                <c:pt idx="67">
                  <c:v>1.2500213998645657E-4</c:v>
                </c:pt>
                <c:pt idx="68">
                  <c:v>1.0914845235734384E-4</c:v>
                </c:pt>
                <c:pt idx="69">
                  <c:v>9.5151326209037048E-5</c:v>
                </c:pt>
                <c:pt idx="70">
                  <c:v>8.2811506217433291E-5</c:v>
                </c:pt>
                <c:pt idx="71">
                  <c:v>7.1949631132404705E-5</c:v>
                </c:pt>
                <c:pt idx="72">
                  <c:v>6.2358923388325494E-5</c:v>
                </c:pt>
                <c:pt idx="73">
                  <c:v>5.3811059052833631E-5</c:v>
                </c:pt>
                <c:pt idx="74">
                  <c:v>4.6373816600798759E-5</c:v>
                </c:pt>
                <c:pt idx="75">
                  <c:v>3.9910852793075546E-5</c:v>
                </c:pt>
                <c:pt idx="76">
                  <c:v>3.4301749751135859E-5</c:v>
                </c:pt>
                <c:pt idx="77">
                  <c:v>2.9439877786432273E-5</c:v>
                </c:pt>
                <c:pt idx="78">
                  <c:v>2.5231341392537035E-5</c:v>
                </c:pt>
                <c:pt idx="79">
                  <c:v>2.1593175271661447E-5</c:v>
                </c:pt>
                <c:pt idx="80">
                  <c:v>1.8452404556195082E-5</c:v>
                </c:pt>
                <c:pt idx="81">
                  <c:v>1.5744805316439721E-5</c:v>
                </c:pt>
                <c:pt idx="82">
                  <c:v>1.3413933885427791E-5</c:v>
                </c:pt>
                <c:pt idx="83">
                  <c:v>1.1410296776289959E-5</c:v>
                </c:pt>
                <c:pt idx="84">
                  <c:v>9.6904850324538425E-6</c:v>
                </c:pt>
              </c:numCache>
            </c:numRef>
          </c:xVal>
          <c:yVal>
            <c:numRef>
              <c:f>'Temperature,Pressure,Density'!$B$4:$B$88</c:f>
              <c:numCache>
                <c:formatCode>General</c:formatCode>
                <c:ptCount val="8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numCache>
            </c:numRef>
          </c:yVal>
          <c:smooth val="0"/>
          <c:extLst>
            <c:ext xmlns:c16="http://schemas.microsoft.com/office/drawing/2014/chart" uri="{C3380CC4-5D6E-409C-BE32-E72D297353CC}">
              <c16:uniqueId val="{00000000-11DF-4D5A-98BA-D3982B04E4EE}"/>
            </c:ext>
          </c:extLst>
        </c:ser>
        <c:dLbls>
          <c:showLegendKey val="0"/>
          <c:showVal val="0"/>
          <c:showCatName val="0"/>
          <c:showSerName val="0"/>
          <c:showPercent val="0"/>
          <c:showBubbleSize val="0"/>
        </c:dLbls>
        <c:axId val="420224016"/>
        <c:axId val="420231072"/>
      </c:scatterChart>
      <c:valAx>
        <c:axId val="420224016"/>
        <c:scaling>
          <c:logBase val="10"/>
          <c:orientation val="minMax"/>
          <c:max val="10"/>
          <c:min val="1.0000000000000001E-5"/>
        </c:scaling>
        <c:delete val="0"/>
        <c:axPos val="b"/>
        <c:majorGridlines>
          <c:spPr>
            <a:ln w="3175">
              <a:solidFill>
                <a:srgbClr val="969696"/>
              </a:solidFill>
              <a:prstDash val="sysDash"/>
            </a:ln>
          </c:spPr>
        </c:majorGridlines>
        <c:minorGridlines>
          <c:spPr>
            <a:ln w="3175">
              <a:solidFill>
                <a:srgbClr val="969696"/>
              </a:solidFill>
              <a:prstDash val="sysDash"/>
            </a:ln>
          </c:spPr>
        </c:minorGridlines>
        <c:title>
          <c:tx>
            <c:rich>
              <a:bodyPr/>
              <a:lstStyle/>
              <a:p>
                <a:pPr>
                  <a:defRPr sz="950" b="1" i="0" u="none" strike="noStrike" baseline="0">
                    <a:solidFill>
                      <a:srgbClr val="000000"/>
                    </a:solidFill>
                    <a:latin typeface="Arial"/>
                    <a:ea typeface="Arial"/>
                    <a:cs typeface="Arial"/>
                  </a:defRPr>
                </a:pPr>
                <a:r>
                  <a:rPr lang="en-US" sz="950" b="1" i="0" u="none" strike="noStrike" baseline="0">
                    <a:solidFill>
                      <a:srgbClr val="000000"/>
                    </a:solidFill>
                    <a:latin typeface="Arial"/>
                    <a:cs typeface="Arial"/>
                  </a:rPr>
                  <a:t>Density (kg/m</a:t>
                </a:r>
                <a:r>
                  <a:rPr lang="en-US" sz="950" b="1" i="0" u="none" strike="noStrike" baseline="30000">
                    <a:solidFill>
                      <a:srgbClr val="000000"/>
                    </a:solidFill>
                    <a:latin typeface="Arial"/>
                    <a:cs typeface="Arial"/>
                  </a:rPr>
                  <a:t>3</a:t>
                </a:r>
                <a:r>
                  <a:rPr lang="en-US" sz="950" b="1" i="0" u="none" strike="noStrike" baseline="0">
                    <a:solidFill>
                      <a:srgbClr val="000000"/>
                    </a:solidFill>
                    <a:latin typeface="Arial"/>
                    <a:cs typeface="Arial"/>
                  </a:rPr>
                  <a:t>)</a:t>
                </a:r>
              </a:p>
            </c:rich>
          </c:tx>
          <c:layout>
            <c:manualLayout>
              <c:xMode val="edge"/>
              <c:yMode val="edge"/>
              <c:x val="0.42150626156388937"/>
              <c:y val="0.881988915088975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1" i="0" u="none" strike="noStrike" baseline="0">
                <a:solidFill>
                  <a:srgbClr val="000000"/>
                </a:solidFill>
                <a:latin typeface="Arial"/>
                <a:ea typeface="Arial"/>
                <a:cs typeface="Arial"/>
              </a:defRPr>
            </a:pPr>
            <a:endParaRPr lang="en-US"/>
          </a:p>
        </c:txPr>
        <c:crossAx val="420231072"/>
        <c:crosses val="autoZero"/>
        <c:crossBetween val="midCat"/>
      </c:valAx>
      <c:valAx>
        <c:axId val="420231072"/>
        <c:scaling>
          <c:orientation val="minMax"/>
          <c:max val="90"/>
        </c:scaling>
        <c:delete val="0"/>
        <c:axPos val="l"/>
        <c:majorGridlines>
          <c:spPr>
            <a:ln w="3175">
              <a:solidFill>
                <a:srgbClr val="969696"/>
              </a:solidFill>
              <a:prstDash val="sysDash"/>
            </a:ln>
          </c:spPr>
        </c:majorGridlines>
        <c:title>
          <c:tx>
            <c:rich>
              <a:bodyPr/>
              <a:lstStyle/>
              <a:p>
                <a:pPr>
                  <a:defRPr sz="950" b="1" i="0" u="none" strike="noStrike" baseline="0">
                    <a:solidFill>
                      <a:srgbClr val="000000"/>
                    </a:solidFill>
                    <a:latin typeface="Arial"/>
                    <a:ea typeface="Arial"/>
                    <a:cs typeface="Arial"/>
                  </a:defRPr>
                </a:pPr>
                <a:r>
                  <a:rPr lang="en-US"/>
                  <a:t>Altitude (km)</a:t>
                </a:r>
              </a:p>
            </c:rich>
          </c:tx>
          <c:layout>
            <c:manualLayout>
              <c:xMode val="edge"/>
              <c:yMode val="edge"/>
              <c:x val="3.4408674413378727E-2"/>
              <c:y val="0.400621725515766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1" i="0" u="none" strike="noStrike" baseline="0">
                <a:solidFill>
                  <a:srgbClr val="000000"/>
                </a:solidFill>
                <a:latin typeface="Arial"/>
                <a:ea typeface="Arial"/>
                <a:cs typeface="Arial"/>
              </a:defRPr>
            </a:pPr>
            <a:endParaRPr lang="en-US"/>
          </a:p>
        </c:txPr>
        <c:crossAx val="420224016"/>
        <c:crossesAt val="1.0000000000000001E-5"/>
        <c:crossBetween val="midCat"/>
        <c:majorUnit val="10"/>
      </c:valAx>
      <c:spPr>
        <a:solidFill>
          <a:srgbClr val="C0C0C0"/>
        </a:solidFill>
        <a:ln w="12700">
          <a:solidFill>
            <a:srgbClr val="808080"/>
          </a:solidFill>
          <a:prstDash val="solid"/>
        </a:ln>
      </c:spPr>
    </c:plotArea>
    <c:plotVisOnly val="1"/>
    <c:dispBlanksAs val="gap"/>
    <c:showDLblsOverMax val="0"/>
  </c:chart>
  <c:spPr>
    <a:gradFill rotWithShape="0">
      <a:gsLst>
        <a:gs pos="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99CCFF" mc:Ignorable="a14" a14:legacySpreadsheetColorIndex="44"/>
        </a:gs>
      </a:gsLst>
      <a:lin ang="5400000" scaled="1"/>
    </a:gra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314325</xdr:colOff>
          <xdr:row>1</xdr:row>
          <xdr:rowOff>200025</xdr:rowOff>
        </xdr:from>
        <xdr:to>
          <xdr:col>6</xdr:col>
          <xdr:colOff>409575</xdr:colOff>
          <xdr:row>4</xdr:row>
          <xdr:rowOff>19050</xdr:rowOff>
        </xdr:to>
        <xdr:sp macro="" textlink="">
          <xdr:nvSpPr>
            <xdr:cNvPr id="1026" name="cmdRunUSS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xdr:colOff>
      <xdr:row>13</xdr:row>
      <xdr:rowOff>38100</xdr:rowOff>
    </xdr:from>
    <xdr:to>
      <xdr:col>9</xdr:col>
      <xdr:colOff>171450</xdr:colOff>
      <xdr:row>37</xdr:row>
      <xdr:rowOff>133350</xdr:rowOff>
    </xdr:to>
    <xdr:graphicFrame macro="">
      <xdr:nvGraphicFramePr>
        <xdr:cNvPr id="2055" name="Chart 7">
          <a:extLst>
            <a:ext uri="{FF2B5EF4-FFF2-40B4-BE49-F238E27FC236}">
              <a16:creationId xmlns:a16="http://schemas.microsoft.com/office/drawing/2014/main" id="{00000000-0008-0000-0100-00000708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3.xml><?xml version="1.0" encoding="utf-8"?>
<c:userShapes xmlns:c="http://schemas.openxmlformats.org/drawingml/2006/chart">
  <cdr:relSizeAnchor xmlns:cdr="http://schemas.openxmlformats.org/drawingml/2006/chartDrawing">
    <cdr:from>
      <cdr:x>0.22506</cdr:x>
      <cdr:y>0.7782</cdr:y>
    </cdr:from>
    <cdr:to>
      <cdr:x>0.31253</cdr:x>
      <cdr:y>0.80431</cdr:y>
    </cdr:to>
    <cdr:sp macro="" textlink="">
      <cdr:nvSpPr>
        <cdr:cNvPr id="4107" name="Text Box 11"/>
        <cdr:cNvSpPr txBox="1">
          <a:spLocks xmlns:a="http://schemas.openxmlformats.org/drawingml/2006/main" noChangeArrowheads="1"/>
        </cdr:cNvSpPr>
      </cdr:nvSpPr>
      <cdr:spPr bwMode="auto">
        <a:xfrm xmlns:a="http://schemas.openxmlformats.org/drawingml/2006/main">
          <a:off x="1250788" y="3108944"/>
          <a:ext cx="484899" cy="10421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sp>
  </cdr:relSizeAnchor>
  <cdr:relSizeAnchor xmlns:cdr="http://schemas.openxmlformats.org/drawingml/2006/chartDrawing">
    <cdr:from>
      <cdr:x>0.21793</cdr:x>
      <cdr:y>0.5737</cdr:y>
    </cdr:from>
    <cdr:to>
      <cdr:x>0.41376</cdr:x>
      <cdr:y>0.62568</cdr:y>
    </cdr:to>
    <cdr:sp macro="" textlink="">
      <cdr:nvSpPr>
        <cdr:cNvPr id="4108" name="Text Box 12"/>
        <cdr:cNvSpPr txBox="1">
          <a:spLocks xmlns:a="http://schemas.openxmlformats.org/drawingml/2006/main" noChangeArrowheads="1"/>
        </cdr:cNvSpPr>
      </cdr:nvSpPr>
      <cdr:spPr bwMode="auto">
        <a:xfrm xmlns:a="http://schemas.openxmlformats.org/drawingml/2006/main">
          <a:off x="1211288" y="2292790"/>
          <a:ext cx="1085574" cy="20744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175" b="1" i="0" u="none" strike="noStrike" baseline="0">
              <a:solidFill>
                <a:srgbClr val="FF0000"/>
              </a:solidFill>
              <a:latin typeface="Arial"/>
              <a:cs typeface="Arial"/>
            </a:rPr>
            <a:t>Stratosphere</a:t>
          </a:r>
        </a:p>
      </cdr:txBody>
    </cdr:sp>
  </cdr:relSizeAnchor>
  <cdr:relSizeAnchor xmlns:cdr="http://schemas.openxmlformats.org/drawingml/2006/chartDrawing">
    <cdr:from>
      <cdr:x>0.22014</cdr:x>
      <cdr:y>0.28916</cdr:y>
    </cdr:from>
    <cdr:to>
      <cdr:x>0.41376</cdr:x>
      <cdr:y>0.35919</cdr:y>
    </cdr:to>
    <cdr:sp macro="" textlink="">
      <cdr:nvSpPr>
        <cdr:cNvPr id="4110" name="Text Box 14"/>
        <cdr:cNvSpPr txBox="1">
          <a:spLocks xmlns:a="http://schemas.openxmlformats.org/drawingml/2006/main" noChangeArrowheads="1"/>
        </cdr:cNvSpPr>
      </cdr:nvSpPr>
      <cdr:spPr bwMode="auto">
        <a:xfrm xmlns:a="http://schemas.openxmlformats.org/drawingml/2006/main">
          <a:off x="1223547" y="1157186"/>
          <a:ext cx="1073315" cy="27951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175" b="1" i="0" u="none" strike="noStrike" baseline="0">
              <a:solidFill>
                <a:srgbClr val="FF0000"/>
              </a:solidFill>
              <a:latin typeface="Arial"/>
              <a:cs typeface="Arial"/>
            </a:rPr>
            <a:t>Mesosphere</a:t>
          </a:r>
        </a:p>
      </cdr:txBody>
    </cdr:sp>
  </cdr:relSizeAnchor>
  <cdr:relSizeAnchor xmlns:cdr="http://schemas.openxmlformats.org/drawingml/2006/chartDrawing">
    <cdr:from>
      <cdr:x>0.21793</cdr:x>
      <cdr:y>0.73622</cdr:y>
    </cdr:from>
    <cdr:to>
      <cdr:x>0.45012</cdr:x>
      <cdr:y>0.79186</cdr:y>
    </cdr:to>
    <cdr:sp macro="" textlink="">
      <cdr:nvSpPr>
        <cdr:cNvPr id="4113" name="Text Box 17"/>
        <cdr:cNvSpPr txBox="1">
          <a:spLocks xmlns:a="http://schemas.openxmlformats.org/drawingml/2006/main" noChangeArrowheads="1"/>
        </cdr:cNvSpPr>
      </cdr:nvSpPr>
      <cdr:spPr bwMode="auto">
        <a:xfrm xmlns:a="http://schemas.openxmlformats.org/drawingml/2006/main">
          <a:off x="1211288" y="2941428"/>
          <a:ext cx="1287161" cy="22205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175" b="1" i="0" u="none" strike="noStrike" baseline="0">
              <a:solidFill>
                <a:srgbClr val="FF0000"/>
              </a:solidFill>
              <a:latin typeface="Arial"/>
              <a:cs typeface="Arial"/>
            </a:rPr>
            <a:t>Troposphere</a:t>
          </a:r>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133350</xdr:rowOff>
        </xdr:from>
        <xdr:to>
          <xdr:col>9</xdr:col>
          <xdr:colOff>428625</xdr:colOff>
          <xdr:row>2</xdr:row>
          <xdr:rowOff>123825</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581025</xdr:colOff>
      <xdr:row>1</xdr:row>
      <xdr:rowOff>85725</xdr:rowOff>
    </xdr:from>
    <xdr:to>
      <xdr:col>21</xdr:col>
      <xdr:colOff>514350</xdr:colOff>
      <xdr:row>23</xdr:row>
      <xdr:rowOff>57150</xdr:rowOff>
    </xdr:to>
    <xdr:graphicFrame macro="">
      <xdr:nvGraphicFramePr>
        <xdr:cNvPr id="16393" name="Chart 9">
          <a:extLst>
            <a:ext uri="{FF2B5EF4-FFF2-40B4-BE49-F238E27FC236}">
              <a16:creationId xmlns:a16="http://schemas.microsoft.com/office/drawing/2014/main" id="{00000000-0008-0000-0200-000009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25</xdr:row>
      <xdr:rowOff>114300</xdr:rowOff>
    </xdr:from>
    <xdr:to>
      <xdr:col>20</xdr:col>
      <xdr:colOff>295275</xdr:colOff>
      <xdr:row>47</xdr:row>
      <xdr:rowOff>19050</xdr:rowOff>
    </xdr:to>
    <xdr:graphicFrame macro="">
      <xdr:nvGraphicFramePr>
        <xdr:cNvPr id="16394" name="Chart 10">
          <a:extLst>
            <a:ext uri="{FF2B5EF4-FFF2-40B4-BE49-F238E27FC236}">
              <a16:creationId xmlns:a16="http://schemas.microsoft.com/office/drawing/2014/main" id="{00000000-0008-0000-0200-00000A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152400</xdr:colOff>
      <xdr:row>1</xdr:row>
      <xdr:rowOff>28575</xdr:rowOff>
    </xdr:from>
    <xdr:to>
      <xdr:col>30</xdr:col>
      <xdr:colOff>314325</xdr:colOff>
      <xdr:row>20</xdr:row>
      <xdr:rowOff>19050</xdr:rowOff>
    </xdr:to>
    <xdr:graphicFrame macro="">
      <xdr:nvGraphicFramePr>
        <xdr:cNvPr id="16397" name="Chart 13">
          <a:extLst>
            <a:ext uri="{FF2B5EF4-FFF2-40B4-BE49-F238E27FC236}">
              <a16:creationId xmlns:a16="http://schemas.microsoft.com/office/drawing/2014/main" id="{00000000-0008-0000-0200-00000D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ww.robertribando.com/wp-content/uploads/2022/08/USStandardAtmosphere.pptx"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31"/>
  <sheetViews>
    <sheetView workbookViewId="0">
      <selection activeCell="K20" sqref="K20"/>
    </sheetView>
  </sheetViews>
  <sheetFormatPr defaultRowHeight="12.75" x14ac:dyDescent="0.2"/>
  <cols>
    <col min="1" max="1" width="12.7109375" customWidth="1"/>
    <col min="2" max="2" width="15.85546875" customWidth="1"/>
    <col min="3" max="3" width="12.5703125" customWidth="1"/>
    <col min="4" max="4" width="10.5703125" customWidth="1"/>
    <col min="6" max="6" width="12.5703125" customWidth="1"/>
  </cols>
  <sheetData>
    <row r="1" spans="1:13" ht="18.75" thickBot="1" x14ac:dyDescent="0.3">
      <c r="A1" s="16" t="s">
        <v>0</v>
      </c>
      <c r="B1" s="17"/>
      <c r="C1" s="17"/>
      <c r="D1" s="18"/>
    </row>
    <row r="2" spans="1:13" ht="16.5" thickBot="1" x14ac:dyDescent="0.3">
      <c r="B2" s="19"/>
      <c r="C2" s="20"/>
    </row>
    <row r="3" spans="1:13" ht="13.5" thickBot="1" x14ac:dyDescent="0.25">
      <c r="A3" s="21" t="s">
        <v>5</v>
      </c>
      <c r="B3" s="22"/>
      <c r="C3" s="22"/>
      <c r="D3" s="22"/>
      <c r="E3" s="23"/>
    </row>
    <row r="4" spans="1:13" x14ac:dyDescent="0.2">
      <c r="J4" s="1"/>
      <c r="K4" s="1"/>
      <c r="L4" s="1"/>
      <c r="M4" s="1"/>
    </row>
    <row r="5" spans="1:13" x14ac:dyDescent="0.2">
      <c r="J5" s="24"/>
      <c r="K5" s="24"/>
    </row>
    <row r="6" spans="1:13" x14ac:dyDescent="0.2">
      <c r="A6" s="1" t="s">
        <v>3</v>
      </c>
      <c r="B6" s="1" t="s">
        <v>1</v>
      </c>
      <c r="C6" s="1" t="s">
        <v>2</v>
      </c>
      <c r="D6" s="1" t="s">
        <v>4</v>
      </c>
      <c r="G6" s="1"/>
      <c r="H6" s="1"/>
      <c r="I6" s="1"/>
      <c r="J6" s="1"/>
    </row>
    <row r="7" spans="1:13" ht="13.5" thickBot="1" x14ac:dyDescent="0.25">
      <c r="A7">
        <v>30.5</v>
      </c>
      <c r="B7">
        <v>0.78780023831988555</v>
      </c>
      <c r="C7">
        <v>1.0963872480968185E-2</v>
      </c>
      <c r="D7">
        <v>1.391707180027066E-2</v>
      </c>
      <c r="F7" s="1"/>
      <c r="G7" s="1"/>
      <c r="H7" s="1"/>
      <c r="I7" s="1"/>
    </row>
    <row r="8" spans="1:13" ht="18.75" thickBot="1" x14ac:dyDescent="0.3">
      <c r="A8">
        <v>47</v>
      </c>
      <c r="B8">
        <v>0.93592217289985691</v>
      </c>
      <c r="C8">
        <v>1.1432657223126219E-3</v>
      </c>
      <c r="D8">
        <v>1.2215393068104505E-3</v>
      </c>
      <c r="G8" s="15" t="s">
        <v>12</v>
      </c>
      <c r="H8" s="1"/>
      <c r="I8" s="1"/>
      <c r="J8" s="1"/>
      <c r="K8" s="1"/>
    </row>
    <row r="9" spans="1:13" x14ac:dyDescent="0.2">
      <c r="A9" s="1">
        <v>8</v>
      </c>
      <c r="B9" s="1">
        <v>0.8197647934052632</v>
      </c>
      <c r="C9" s="1">
        <v>0.35185318070408594</v>
      </c>
      <c r="D9" s="1">
        <v>0.42921235887980125</v>
      </c>
      <c r="F9" s="1"/>
      <c r="G9" s="1"/>
      <c r="H9" s="1"/>
      <c r="I9" s="1"/>
    </row>
    <row r="10" spans="1:13" x14ac:dyDescent="0.2">
      <c r="C10" s="1"/>
      <c r="D10" s="1"/>
      <c r="E10" s="1"/>
      <c r="F10" s="1"/>
      <c r="G10" s="1"/>
      <c r="H10" s="1"/>
      <c r="I10" s="1"/>
    </row>
    <row r="11" spans="1:13" x14ac:dyDescent="0.2">
      <c r="A11" s="1"/>
      <c r="B11" s="1"/>
      <c r="C11" s="1"/>
      <c r="D11" s="1"/>
    </row>
    <row r="12" spans="1:13" x14ac:dyDescent="0.2">
      <c r="A12" s="1"/>
      <c r="B12" s="1"/>
      <c r="C12" s="1"/>
      <c r="D12" s="1"/>
      <c r="E12" s="1"/>
    </row>
    <row r="13" spans="1:13" x14ac:dyDescent="0.2">
      <c r="A13" s="1"/>
      <c r="B13" s="1"/>
      <c r="C13" s="1"/>
      <c r="D13" s="1"/>
      <c r="G13" s="1"/>
      <c r="H13" s="1"/>
      <c r="I13" s="1"/>
      <c r="J13" s="1"/>
    </row>
    <row r="15" spans="1:13" x14ac:dyDescent="0.2">
      <c r="A15" s="1"/>
      <c r="B15" s="1"/>
      <c r="C15" s="1"/>
      <c r="D15" s="1"/>
      <c r="F15" s="1"/>
      <c r="G15" s="1"/>
      <c r="H15" s="1"/>
      <c r="I15" s="1"/>
    </row>
    <row r="16" spans="1:13" x14ac:dyDescent="0.2">
      <c r="B16" s="1"/>
      <c r="C16" s="1"/>
      <c r="D16" s="1"/>
      <c r="E16" s="1"/>
    </row>
    <row r="17" spans="1:10" ht="15.75" x14ac:dyDescent="0.25">
      <c r="J17" s="14"/>
    </row>
    <row r="18" spans="1:10" x14ac:dyDescent="0.2">
      <c r="A18" s="1"/>
      <c r="B18" s="1"/>
      <c r="C18" s="1"/>
      <c r="D18" s="1"/>
    </row>
    <row r="21" spans="1:10" x14ac:dyDescent="0.2">
      <c r="A21" s="1"/>
      <c r="B21" s="1"/>
      <c r="C21" s="1"/>
      <c r="D21" s="1"/>
    </row>
    <row r="24" spans="1:10" x14ac:dyDescent="0.2">
      <c r="A24" s="1"/>
      <c r="B24" s="1"/>
      <c r="C24" s="1"/>
      <c r="D24" s="1"/>
    </row>
    <row r="28" spans="1:10" x14ac:dyDescent="0.2">
      <c r="C28" s="1"/>
    </row>
    <row r="29" spans="1:10" x14ac:dyDescent="0.2">
      <c r="D29" s="1"/>
    </row>
    <row r="31" spans="1:10" x14ac:dyDescent="0.2">
      <c r="D31" s="1"/>
      <c r="E31" s="1"/>
      <c r="F31" s="1"/>
    </row>
  </sheetData>
  <mergeCells count="4">
    <mergeCell ref="A1:D1"/>
    <mergeCell ref="B2:C2"/>
    <mergeCell ref="A3:E3"/>
    <mergeCell ref="J5:K5"/>
  </mergeCells>
  <phoneticPr fontId="0" type="noConversion"/>
  <hyperlinks>
    <hyperlink ref="G8" r:id="rId1" xr:uid="{00000000-0004-0000-0000-000000000000}"/>
  </hyperlinks>
  <pageMargins left="0.75" right="0.75" top="1" bottom="1" header="0.5" footer="0.5"/>
  <pageSetup orientation="portrait" horizontalDpi="300" verticalDpi="300" r:id="rId2"/>
  <headerFooter alignWithMargins="0"/>
  <drawing r:id="rId3"/>
  <legacyDrawing r:id="rId4"/>
  <controls>
    <mc:AlternateContent xmlns:mc="http://schemas.openxmlformats.org/markup-compatibility/2006">
      <mc:Choice Requires="x14">
        <control shapeId="1026" r:id="rId5" name="cmdRunUSSA">
          <controlPr defaultSize="0" autoLine="0" r:id="rId6">
            <anchor moveWithCells="1">
              <from>
                <xdr:col>5</xdr:col>
                <xdr:colOff>314325</xdr:colOff>
                <xdr:row>1</xdr:row>
                <xdr:rowOff>200025</xdr:rowOff>
              </from>
              <to>
                <xdr:col>6</xdr:col>
                <xdr:colOff>409575</xdr:colOff>
                <xdr:row>4</xdr:row>
                <xdr:rowOff>19050</xdr:rowOff>
              </to>
            </anchor>
          </controlPr>
        </control>
      </mc:Choice>
      <mc:Fallback>
        <control shapeId="1026" r:id="rId5" name="cmdRunUSS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1"/>
  <sheetViews>
    <sheetView workbookViewId="0">
      <selection activeCell="M12" sqref="M12"/>
    </sheetView>
  </sheetViews>
  <sheetFormatPr defaultRowHeight="12.75" x14ac:dyDescent="0.2"/>
  <cols>
    <col min="3" max="3" width="16.5703125" customWidth="1"/>
  </cols>
  <sheetData>
    <row r="1" spans="1:8" x14ac:dyDescent="0.2">
      <c r="A1" s="4">
        <v>0</v>
      </c>
      <c r="B1" s="5">
        <v>288.14999999999998</v>
      </c>
      <c r="C1" s="6">
        <v>1</v>
      </c>
      <c r="D1" s="7">
        <v>-6.5</v>
      </c>
    </row>
    <row r="2" spans="1:8" x14ac:dyDescent="0.2">
      <c r="A2" s="8">
        <v>11</v>
      </c>
      <c r="B2" s="2">
        <v>216.65</v>
      </c>
      <c r="C2" s="3">
        <v>0.22336110000000001</v>
      </c>
      <c r="D2" s="9">
        <v>0</v>
      </c>
    </row>
    <row r="3" spans="1:8" x14ac:dyDescent="0.2">
      <c r="A3" s="8">
        <v>20</v>
      </c>
      <c r="B3" s="2">
        <v>216.65</v>
      </c>
      <c r="C3" s="3">
        <v>5.4032950000000003E-2</v>
      </c>
      <c r="D3" s="9">
        <v>1</v>
      </c>
    </row>
    <row r="4" spans="1:8" x14ac:dyDescent="0.2">
      <c r="A4" s="8">
        <v>32</v>
      </c>
      <c r="B4" s="2">
        <v>228.65</v>
      </c>
      <c r="C4" s="3">
        <v>8.5666783999999996E-3</v>
      </c>
      <c r="D4" s="9">
        <v>2.8</v>
      </c>
    </row>
    <row r="5" spans="1:8" x14ac:dyDescent="0.2">
      <c r="A5" s="8">
        <v>47</v>
      </c>
      <c r="B5" s="2">
        <v>270.64999999999998</v>
      </c>
      <c r="C5" s="3">
        <v>1.0945601000000001E-3</v>
      </c>
      <c r="D5" s="9">
        <v>0</v>
      </c>
    </row>
    <row r="6" spans="1:8" x14ac:dyDescent="0.2">
      <c r="A6" s="8">
        <v>51</v>
      </c>
      <c r="B6" s="2">
        <v>270.64999999999998</v>
      </c>
      <c r="C6" s="3">
        <v>6.6063530999999997E-4</v>
      </c>
      <c r="D6" s="9">
        <v>-2.8</v>
      </c>
    </row>
    <row r="7" spans="1:8" x14ac:dyDescent="0.2">
      <c r="A7" s="8">
        <v>71</v>
      </c>
      <c r="B7" s="2">
        <v>214.65</v>
      </c>
      <c r="C7" s="3">
        <v>3.9046834E-5</v>
      </c>
      <c r="D7" s="9">
        <v>-2</v>
      </c>
    </row>
    <row r="8" spans="1:8" ht="13.5" thickBot="1" x14ac:dyDescent="0.25">
      <c r="A8" s="10">
        <v>84.852000000000004</v>
      </c>
      <c r="B8" s="11">
        <v>186.946</v>
      </c>
      <c r="C8" s="12">
        <v>3.6850100000000001E-6</v>
      </c>
      <c r="D8" s="13">
        <v>0</v>
      </c>
    </row>
    <row r="10" spans="1:8" x14ac:dyDescent="0.2">
      <c r="B10" s="25" t="s">
        <v>10</v>
      </c>
      <c r="C10" s="25"/>
      <c r="D10" s="25"/>
      <c r="E10" s="25"/>
      <c r="F10" s="25"/>
      <c r="G10" s="25"/>
      <c r="H10" s="25"/>
    </row>
    <row r="11" spans="1:8" x14ac:dyDescent="0.2">
      <c r="B11" s="25" t="s">
        <v>11</v>
      </c>
      <c r="C11" s="25"/>
      <c r="D11" s="25"/>
      <c r="E11" s="25"/>
      <c r="F11" s="25"/>
      <c r="G11" s="25"/>
      <c r="H11" s="25"/>
    </row>
    <row r="18" spans="2:3" x14ac:dyDescent="0.2">
      <c r="B18">
        <v>162</v>
      </c>
      <c r="C18">
        <v>0</v>
      </c>
    </row>
    <row r="19" spans="2:3" x14ac:dyDescent="0.2">
      <c r="B19">
        <v>162</v>
      </c>
      <c r="C19">
        <v>10</v>
      </c>
    </row>
    <row r="20" spans="2:3" x14ac:dyDescent="0.2">
      <c r="B20">
        <v>162</v>
      </c>
      <c r="C20">
        <v>45</v>
      </c>
    </row>
    <row r="21" spans="2:3" x14ac:dyDescent="0.2">
      <c r="B21">
        <v>162</v>
      </c>
      <c r="C21">
        <v>95</v>
      </c>
    </row>
  </sheetData>
  <sheetProtection password="E5C2" sheet="1" objects="1" scenarios="1"/>
  <mergeCells count="2">
    <mergeCell ref="B10:H10"/>
    <mergeCell ref="B11:H11"/>
  </mergeCells>
  <phoneticPr fontId="0" type="noConversion"/>
  <pageMargins left="0.75" right="0.75" top="1" bottom="1" header="0.5" footer="0.5"/>
  <pageSetup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C88"/>
  <sheetViews>
    <sheetView tabSelected="1" workbookViewId="0">
      <selection activeCell="K21" sqref="K21"/>
    </sheetView>
  </sheetViews>
  <sheetFormatPr defaultRowHeight="12.75" x14ac:dyDescent="0.2"/>
  <sheetData>
    <row r="1" spans="1:22" ht="16.5" thickBot="1" x14ac:dyDescent="0.3">
      <c r="A1" s="26" t="s">
        <v>9</v>
      </c>
      <c r="B1" s="27"/>
      <c r="C1" s="27"/>
      <c r="D1" s="27"/>
      <c r="E1" s="27"/>
      <c r="F1" s="27"/>
      <c r="G1" s="27"/>
      <c r="H1" s="28"/>
      <c r="L1" s="1"/>
      <c r="M1" s="1"/>
      <c r="N1" s="1"/>
      <c r="O1" s="1"/>
    </row>
    <row r="2" spans="1:22" x14ac:dyDescent="0.2">
      <c r="M2" s="1"/>
      <c r="N2" s="1"/>
      <c r="O2" s="1"/>
      <c r="P2" s="1"/>
    </row>
    <row r="3" spans="1:22" x14ac:dyDescent="0.2">
      <c r="B3" s="1" t="s">
        <v>3</v>
      </c>
      <c r="C3" s="1" t="s">
        <v>1</v>
      </c>
      <c r="D3" s="1" t="s">
        <v>2</v>
      </c>
      <c r="E3" s="1" t="s">
        <v>4</v>
      </c>
      <c r="F3" s="1" t="s">
        <v>7</v>
      </c>
      <c r="G3" s="1" t="s">
        <v>6</v>
      </c>
      <c r="H3" s="1" t="s">
        <v>8</v>
      </c>
    </row>
    <row r="4" spans="1:22" x14ac:dyDescent="0.2">
      <c r="B4">
        <v>0</v>
      </c>
      <c r="C4">
        <v>0.99999997881826963</v>
      </c>
      <c r="D4">
        <v>1</v>
      </c>
      <c r="E4">
        <v>1.0000000211817308</v>
      </c>
      <c r="F4">
        <f>288.15*C4</f>
        <v>288.14999389648438</v>
      </c>
      <c r="G4">
        <f>101.33*D4</f>
        <v>101.33</v>
      </c>
      <c r="H4">
        <f>1.225*E4</f>
        <v>1.2250000259476204</v>
      </c>
    </row>
    <row r="5" spans="1:22" x14ac:dyDescent="0.2">
      <c r="B5">
        <f>B4+1</f>
        <v>1</v>
      </c>
      <c r="C5">
        <v>0.977445778159162</v>
      </c>
      <c r="D5">
        <v>0.88700970869208828</v>
      </c>
      <c r="E5">
        <v>0.90747714964057313</v>
      </c>
      <c r="F5">
        <f t="shared" ref="F5:F68" si="0">288.15*C5</f>
        <v>281.6510009765625</v>
      </c>
      <c r="G5">
        <f t="shared" ref="G5:G68" si="1">101.33*D5</f>
        <v>89.88069378176931</v>
      </c>
      <c r="H5">
        <f t="shared" ref="H5:H68" si="2">1.225*E5</f>
        <v>1.1116595083097021</v>
      </c>
    </row>
    <row r="6" spans="1:22" x14ac:dyDescent="0.2">
      <c r="B6">
        <f t="shared" ref="B6:B69" si="3">B5+1</f>
        <v>2</v>
      </c>
      <c r="C6">
        <v>0.95489877928840239</v>
      </c>
      <c r="D6">
        <v>0.78461805052433975</v>
      </c>
      <c r="E6">
        <v>0.82167667143636203</v>
      </c>
      <c r="F6">
        <f t="shared" si="0"/>
        <v>275.15408325195313</v>
      </c>
      <c r="G6">
        <f t="shared" si="1"/>
        <v>79.505347059631347</v>
      </c>
      <c r="H6">
        <f t="shared" si="2"/>
        <v>1.0065539225095435</v>
      </c>
      <c r="S6" s="1"/>
      <c r="T6" s="1"/>
      <c r="U6" s="1"/>
      <c r="V6" s="1"/>
    </row>
    <row r="7" spans="1:22" x14ac:dyDescent="0.2">
      <c r="B7">
        <f t="shared" si="3"/>
        <v>3</v>
      </c>
      <c r="C7">
        <v>0.93235877038868653</v>
      </c>
      <c r="D7">
        <v>0.69204187437905251</v>
      </c>
      <c r="E7">
        <v>0.74224847382574688</v>
      </c>
      <c r="F7">
        <f t="shared" si="0"/>
        <v>268.6591796875</v>
      </c>
      <c r="G7">
        <f t="shared" si="1"/>
        <v>70.124603130829385</v>
      </c>
      <c r="H7">
        <f t="shared" si="2"/>
        <v>0.90925438043653994</v>
      </c>
    </row>
    <row r="8" spans="1:22" x14ac:dyDescent="0.2">
      <c r="B8">
        <f t="shared" si="3"/>
        <v>4</v>
      </c>
      <c r="C8">
        <v>0.90982585736866661</v>
      </c>
      <c r="D8">
        <v>0.6085409620042358</v>
      </c>
      <c r="E8">
        <v>0.66885432753495766</v>
      </c>
      <c r="F8">
        <f t="shared" si="0"/>
        <v>262.16632080078125</v>
      </c>
      <c r="G8">
        <f t="shared" si="1"/>
        <v>61.663455679889211</v>
      </c>
      <c r="H8">
        <f t="shared" si="2"/>
        <v>0.81934655123032318</v>
      </c>
    </row>
    <row r="9" spans="1:22" x14ac:dyDescent="0.2">
      <c r="B9">
        <f t="shared" si="3"/>
        <v>5</v>
      </c>
      <c r="C9">
        <v>0.88729998727401638</v>
      </c>
      <c r="D9">
        <v>0.53341458370957839</v>
      </c>
      <c r="E9">
        <v>0.60116599950412153</v>
      </c>
      <c r="F9">
        <f t="shared" si="0"/>
        <v>255.67549133300781</v>
      </c>
      <c r="G9">
        <f t="shared" si="1"/>
        <v>54.050899767291575</v>
      </c>
      <c r="H9">
        <f t="shared" si="2"/>
        <v>0.73642834939254898</v>
      </c>
    </row>
    <row r="10" spans="1:22" x14ac:dyDescent="0.2">
      <c r="B10">
        <f t="shared" si="3"/>
        <v>6</v>
      </c>
      <c r="C10">
        <v>0.86478121305906219</v>
      </c>
      <c r="D10">
        <v>0.46600124523809794</v>
      </c>
      <c r="E10">
        <v>0.53886606022542183</v>
      </c>
      <c r="F10">
        <f t="shared" si="0"/>
        <v>249.18670654296875</v>
      </c>
      <c r="G10">
        <f t="shared" si="1"/>
        <v>47.219906179976462</v>
      </c>
      <c r="H10">
        <f t="shared" si="2"/>
        <v>0.66011092377614178</v>
      </c>
    </row>
    <row r="11" spans="1:22" x14ac:dyDescent="0.2">
      <c r="B11">
        <f t="shared" si="3"/>
        <v>7</v>
      </c>
      <c r="C11">
        <v>0.8422694817694778</v>
      </c>
      <c r="D11">
        <v>0.40567669636001769</v>
      </c>
      <c r="E11">
        <v>0.48164715110863776</v>
      </c>
      <c r="F11">
        <f t="shared" si="0"/>
        <v>242.699951171875</v>
      </c>
      <c r="G11">
        <f t="shared" si="1"/>
        <v>41.107219642160594</v>
      </c>
      <c r="H11">
        <f t="shared" si="2"/>
        <v>0.59001776010808127</v>
      </c>
    </row>
    <row r="12" spans="1:22" x14ac:dyDescent="0.2">
      <c r="B12">
        <f t="shared" si="3"/>
        <v>8</v>
      </c>
      <c r="C12">
        <v>0.8197647934052632</v>
      </c>
      <c r="D12">
        <v>0.35185318070408594</v>
      </c>
      <c r="E12">
        <v>0.42921235887980125</v>
      </c>
      <c r="F12">
        <f t="shared" si="0"/>
        <v>236.21522521972656</v>
      </c>
      <c r="G12">
        <f t="shared" si="1"/>
        <v>35.653282800745025</v>
      </c>
      <c r="H12">
        <f t="shared" si="2"/>
        <v>0.52578513962775653</v>
      </c>
    </row>
    <row r="13" spans="1:22" x14ac:dyDescent="0.2">
      <c r="B13">
        <f t="shared" si="3"/>
        <v>9</v>
      </c>
      <c r="C13">
        <v>0.79726720092074443</v>
      </c>
      <c r="D13">
        <v>0.30397810115131602</v>
      </c>
      <c r="E13">
        <v>0.38127506161078634</v>
      </c>
      <c r="F13">
        <f t="shared" si="0"/>
        <v>229.7325439453125</v>
      </c>
      <c r="G13">
        <f t="shared" si="1"/>
        <v>30.802100989662851</v>
      </c>
      <c r="H13">
        <f t="shared" si="2"/>
        <v>0.46706195047321331</v>
      </c>
      <c r="R13" s="1"/>
      <c r="S13" s="1"/>
      <c r="T13" s="1"/>
      <c r="U13" s="1"/>
    </row>
    <row r="14" spans="1:22" x14ac:dyDescent="0.2">
      <c r="B14">
        <f t="shared" si="3"/>
        <v>10</v>
      </c>
      <c r="C14">
        <v>0.77477665136159557</v>
      </c>
      <c r="D14">
        <v>0.26153243588876718</v>
      </c>
      <c r="E14">
        <v>0.33755848918413978</v>
      </c>
      <c r="F14">
        <f t="shared" si="0"/>
        <v>223.25189208984375</v>
      </c>
      <c r="G14">
        <f t="shared" si="1"/>
        <v>26.501081728608778</v>
      </c>
      <c r="H14">
        <f t="shared" si="2"/>
        <v>0.41350914925057125</v>
      </c>
    </row>
    <row r="15" spans="1:22" x14ac:dyDescent="0.2">
      <c r="B15">
        <f t="shared" si="3"/>
        <v>11</v>
      </c>
      <c r="C15">
        <v>0.7522931447278165</v>
      </c>
      <c r="D15">
        <v>0.22402988087176237</v>
      </c>
      <c r="E15">
        <v>0.29779598876022928</v>
      </c>
      <c r="F15">
        <f t="shared" si="0"/>
        <v>216.77326965332031</v>
      </c>
      <c r="G15">
        <f t="shared" si="1"/>
        <v>22.700947828735682</v>
      </c>
      <c r="H15">
        <f t="shared" si="2"/>
        <v>0.36480008623128091</v>
      </c>
    </row>
    <row r="16" spans="1:22" x14ac:dyDescent="0.2">
      <c r="B16">
        <f t="shared" si="3"/>
        <v>12</v>
      </c>
      <c r="C16">
        <v>0.75186532672734474</v>
      </c>
      <c r="D16">
        <v>0.19145634910649328</v>
      </c>
      <c r="E16">
        <v>0.25464181190512952</v>
      </c>
      <c r="F16">
        <f t="shared" si="0"/>
        <v>216.64999389648438</v>
      </c>
      <c r="G16">
        <f t="shared" si="1"/>
        <v>19.400271854960963</v>
      </c>
      <c r="H16">
        <f t="shared" si="2"/>
        <v>0.3119362195837837</v>
      </c>
    </row>
    <row r="17" spans="2:29" x14ac:dyDescent="0.2">
      <c r="B17">
        <f t="shared" si="3"/>
        <v>13</v>
      </c>
      <c r="C17">
        <v>0.75186532672734474</v>
      </c>
      <c r="D17">
        <v>0.16362685940146798</v>
      </c>
      <c r="E17">
        <v>0.21762788305944233</v>
      </c>
      <c r="F17">
        <f t="shared" si="0"/>
        <v>216.64999389648438</v>
      </c>
      <c r="G17">
        <f t="shared" si="1"/>
        <v>16.58030966315075</v>
      </c>
      <c r="H17">
        <f t="shared" si="2"/>
        <v>0.26659415674781689</v>
      </c>
      <c r="Z17" s="1"/>
      <c r="AA17" s="1"/>
      <c r="AB17" s="1"/>
      <c r="AC17" s="1"/>
    </row>
    <row r="18" spans="2:29" x14ac:dyDescent="0.2">
      <c r="B18">
        <f t="shared" si="3"/>
        <v>14</v>
      </c>
      <c r="C18">
        <v>0.75186532672734474</v>
      </c>
      <c r="D18">
        <v>0.13984945332971246</v>
      </c>
      <c r="E18">
        <v>0.18600332846633216</v>
      </c>
      <c r="F18">
        <f t="shared" si="0"/>
        <v>216.64999389648438</v>
      </c>
      <c r="G18">
        <f t="shared" si="1"/>
        <v>14.170945105899763</v>
      </c>
      <c r="H18">
        <f t="shared" si="2"/>
        <v>0.2278540773712569</v>
      </c>
    </row>
    <row r="19" spans="2:29" x14ac:dyDescent="0.2">
      <c r="B19">
        <f t="shared" si="3"/>
        <v>15</v>
      </c>
      <c r="C19">
        <v>0.75186532672734474</v>
      </c>
      <c r="D19">
        <v>0.1195331344580819</v>
      </c>
      <c r="E19">
        <v>0.15898210784420069</v>
      </c>
      <c r="F19">
        <f t="shared" si="0"/>
        <v>216.64999389648438</v>
      </c>
      <c r="G19">
        <f t="shared" si="1"/>
        <v>12.112292514637439</v>
      </c>
      <c r="H19">
        <f t="shared" si="2"/>
        <v>0.19475308210914585</v>
      </c>
    </row>
    <row r="20" spans="2:29" x14ac:dyDescent="0.2">
      <c r="B20">
        <f t="shared" si="3"/>
        <v>16</v>
      </c>
      <c r="C20">
        <v>0.75186532672734474</v>
      </c>
      <c r="D20">
        <v>0.10217326335816836</v>
      </c>
      <c r="E20">
        <v>0.1358930379232933</v>
      </c>
      <c r="F20">
        <f t="shared" si="0"/>
        <v>216.64999389648438</v>
      </c>
      <c r="G20">
        <f t="shared" si="1"/>
        <v>10.353216776083199</v>
      </c>
      <c r="H20">
        <f t="shared" si="2"/>
        <v>0.16646897145603431</v>
      </c>
    </row>
    <row r="21" spans="2:29" x14ac:dyDescent="0.2">
      <c r="B21">
        <f t="shared" si="3"/>
        <v>17</v>
      </c>
      <c r="C21">
        <v>0.75186532672734474</v>
      </c>
      <c r="D21">
        <v>8.733885876426882E-2</v>
      </c>
      <c r="E21">
        <v>0.11616290266294092</v>
      </c>
      <c r="F21">
        <f t="shared" si="0"/>
        <v>216.64999389648438</v>
      </c>
      <c r="G21">
        <f t="shared" si="1"/>
        <v>8.8500465585833599</v>
      </c>
      <c r="H21">
        <f t="shared" si="2"/>
        <v>0.14229955576210265</v>
      </c>
    </row>
    <row r="22" spans="2:29" x14ac:dyDescent="0.2">
      <c r="B22">
        <f t="shared" si="3"/>
        <v>18</v>
      </c>
      <c r="C22">
        <v>0.75186532672734474</v>
      </c>
      <c r="D22">
        <v>7.466190248837469E-2</v>
      </c>
      <c r="E22">
        <v>9.9302228516583754E-2</v>
      </c>
      <c r="F22">
        <f t="shared" si="0"/>
        <v>216.64999389648438</v>
      </c>
      <c r="G22">
        <f t="shared" si="1"/>
        <v>7.5654905791470073</v>
      </c>
      <c r="H22">
        <f t="shared" si="2"/>
        <v>0.12164522993281511</v>
      </c>
    </row>
    <row r="23" spans="2:29" x14ac:dyDescent="0.2">
      <c r="B23">
        <f t="shared" si="3"/>
        <v>19</v>
      </c>
      <c r="C23">
        <v>0.75186532672734474</v>
      </c>
      <c r="D23">
        <v>6.3828114201596675E-2</v>
      </c>
      <c r="E23">
        <v>8.4893014656523991E-2</v>
      </c>
      <c r="F23">
        <f t="shared" si="0"/>
        <v>216.64999389648438</v>
      </c>
      <c r="G23">
        <f t="shared" si="1"/>
        <v>6.4677028120477909</v>
      </c>
      <c r="H23">
        <f t="shared" si="2"/>
        <v>0.1039939429542419</v>
      </c>
    </row>
    <row r="24" spans="2:29" x14ac:dyDescent="0.2">
      <c r="B24">
        <f t="shared" si="3"/>
        <v>20</v>
      </c>
      <c r="C24">
        <v>0.75186532672734474</v>
      </c>
      <c r="D24">
        <v>5.4569017603806141E-2</v>
      </c>
      <c r="E24">
        <v>7.257818077783891E-2</v>
      </c>
      <c r="F24">
        <f t="shared" si="0"/>
        <v>216.64999389648438</v>
      </c>
      <c r="G24">
        <f t="shared" si="1"/>
        <v>5.5294785537936759</v>
      </c>
      <c r="H24">
        <f t="shared" si="2"/>
        <v>8.8908271452852669E-2</v>
      </c>
    </row>
    <row r="25" spans="2:29" x14ac:dyDescent="0.2">
      <c r="B25">
        <f t="shared" si="3"/>
        <v>21</v>
      </c>
      <c r="C25">
        <v>0.75509622902500328</v>
      </c>
      <c r="D25">
        <v>4.6670071396221958E-2</v>
      </c>
      <c r="E25">
        <v>6.1806786476054018E-2</v>
      </c>
      <c r="F25">
        <f t="shared" si="0"/>
        <v>217.58097839355469</v>
      </c>
      <c r="G25">
        <f t="shared" si="1"/>
        <v>4.7290783345791709</v>
      </c>
      <c r="H25">
        <f t="shared" si="2"/>
        <v>7.5713313433166174E-2</v>
      </c>
    </row>
    <row r="26" spans="2:29" x14ac:dyDescent="0.2">
      <c r="B26">
        <f t="shared" si="3"/>
        <v>22</v>
      </c>
      <c r="C26">
        <v>0.75854334383608257</v>
      </c>
      <c r="D26">
        <v>3.9944798266292325E-2</v>
      </c>
      <c r="E26">
        <v>5.2659875788092336E-2</v>
      </c>
      <c r="F26">
        <f t="shared" si="0"/>
        <v>218.57426452636719</v>
      </c>
      <c r="G26">
        <f t="shared" si="1"/>
        <v>4.0476064083234009</v>
      </c>
      <c r="H26">
        <f t="shared" si="2"/>
        <v>6.4508347840413122E-2</v>
      </c>
    </row>
    <row r="27" spans="2:29" x14ac:dyDescent="0.2">
      <c r="B27">
        <f t="shared" si="3"/>
        <v>23</v>
      </c>
      <c r="C27">
        <v>0.76198934660631401</v>
      </c>
      <c r="D27">
        <v>3.4214489023417408E-2</v>
      </c>
      <c r="E27">
        <v>4.4901531990964319E-2</v>
      </c>
      <c r="F27">
        <f t="shared" si="0"/>
        <v>219.56723022460938</v>
      </c>
      <c r="G27">
        <f t="shared" si="1"/>
        <v>3.4669541727428856</v>
      </c>
      <c r="H27">
        <f t="shared" si="2"/>
        <v>5.5004376688931295E-2</v>
      </c>
    </row>
    <row r="28" spans="2:29" x14ac:dyDescent="0.2">
      <c r="B28">
        <f t="shared" si="3"/>
        <v>24</v>
      </c>
      <c r="C28">
        <v>0.76543429029002374</v>
      </c>
      <c r="D28">
        <v>2.9328095314388097E-2</v>
      </c>
      <c r="E28">
        <v>3.8315627724589733E-2</v>
      </c>
      <c r="F28">
        <f t="shared" si="0"/>
        <v>220.55989074707031</v>
      </c>
      <c r="G28">
        <f t="shared" si="1"/>
        <v>2.971815898206946</v>
      </c>
      <c r="H28">
        <f t="shared" si="2"/>
        <v>4.6936643962622426E-2</v>
      </c>
    </row>
    <row r="29" spans="2:29" x14ac:dyDescent="0.2">
      <c r="B29">
        <f t="shared" si="3"/>
        <v>25</v>
      </c>
      <c r="C29">
        <v>0.76887817488721155</v>
      </c>
      <c r="D29">
        <v>2.5158145937832908E-2</v>
      </c>
      <c r="E29">
        <v>3.2720587941676732E-2</v>
      </c>
      <c r="F29">
        <f t="shared" si="0"/>
        <v>221.55224609375</v>
      </c>
      <c r="G29">
        <f t="shared" si="1"/>
        <v>2.5492749278806084</v>
      </c>
      <c r="H29">
        <f t="shared" si="2"/>
        <v>4.0082720228553997E-2</v>
      </c>
    </row>
    <row r="30" spans="2:29" x14ac:dyDescent="0.2">
      <c r="B30">
        <f t="shared" si="3"/>
        <v>26</v>
      </c>
      <c r="C30">
        <v>0.77232094744355162</v>
      </c>
      <c r="D30">
        <v>2.1596950568184427E-2</v>
      </c>
      <c r="E30">
        <v>2.796369908089659E-2</v>
      </c>
      <c r="F30">
        <f t="shared" si="0"/>
        <v>222.54428100585938</v>
      </c>
      <c r="G30">
        <f t="shared" si="1"/>
        <v>2.188419001074128</v>
      </c>
      <c r="H30">
        <f t="shared" si="2"/>
        <v>3.4255531374098327E-2</v>
      </c>
    </row>
    <row r="31" spans="2:29" x14ac:dyDescent="0.2">
      <c r="B31">
        <f t="shared" si="3"/>
        <v>27</v>
      </c>
      <c r="C31">
        <v>0.77576266091336987</v>
      </c>
      <c r="D31">
        <v>1.8553306521629349E-2</v>
      </c>
      <c r="E31">
        <v>2.3916214915248691E-2</v>
      </c>
      <c r="F31">
        <f t="shared" si="0"/>
        <v>223.5360107421875</v>
      </c>
      <c r="G31">
        <f t="shared" si="1"/>
        <v>1.880006549836702</v>
      </c>
      <c r="H31">
        <f t="shared" si="2"/>
        <v>2.9297363271179648E-2</v>
      </c>
    </row>
    <row r="32" spans="2:29" x14ac:dyDescent="0.2">
      <c r="B32">
        <f t="shared" si="3"/>
        <v>28</v>
      </c>
      <c r="C32">
        <v>0.77920331529666631</v>
      </c>
      <c r="D32">
        <v>1.5950063222408328E-2</v>
      </c>
      <c r="E32">
        <v>2.0469706569890115E-2</v>
      </c>
      <c r="F32">
        <f t="shared" si="0"/>
        <v>224.52743530273438</v>
      </c>
      <c r="G32">
        <f t="shared" si="1"/>
        <v>1.6162199063266358</v>
      </c>
      <c r="H32">
        <f t="shared" si="2"/>
        <v>2.5075390548115393E-2</v>
      </c>
    </row>
    <row r="33" spans="2:8" x14ac:dyDescent="0.2">
      <c r="B33">
        <f t="shared" si="3"/>
        <v>29</v>
      </c>
      <c r="C33">
        <v>0.78264291059344093</v>
      </c>
      <c r="D33">
        <v>1.3721856132642065E-2</v>
      </c>
      <c r="E33">
        <v>1.7532716321722552E-2</v>
      </c>
      <c r="F33">
        <f t="shared" si="0"/>
        <v>225.5185546875</v>
      </c>
      <c r="G33">
        <f t="shared" si="1"/>
        <v>1.3904356819206205</v>
      </c>
      <c r="H33">
        <f t="shared" si="2"/>
        <v>2.1477577494110129E-2</v>
      </c>
    </row>
    <row r="34" spans="2:8" x14ac:dyDescent="0.2">
      <c r="B34">
        <f t="shared" si="3"/>
        <v>30</v>
      </c>
      <c r="C34">
        <v>0.78608134089504167</v>
      </c>
      <c r="D34">
        <v>1.1813317475903525E-2</v>
      </c>
      <c r="E34">
        <v>1.5028110783615267E-2</v>
      </c>
      <c r="F34">
        <f t="shared" si="0"/>
        <v>226.50933837890625</v>
      </c>
      <c r="G34">
        <f t="shared" si="1"/>
        <v>1.1970434598333042</v>
      </c>
      <c r="H34">
        <f t="shared" si="2"/>
        <v>1.8409435709928704E-2</v>
      </c>
    </row>
    <row r="35" spans="2:8" x14ac:dyDescent="0.2">
      <c r="B35">
        <f t="shared" si="3"/>
        <v>31</v>
      </c>
      <c r="C35">
        <v>0.78951876506444674</v>
      </c>
      <c r="D35">
        <v>1.0177325750806133E-2</v>
      </c>
      <c r="E35">
        <v>1.2890543203207311E-2</v>
      </c>
      <c r="F35">
        <f t="shared" si="0"/>
        <v>227.49983215332031</v>
      </c>
      <c r="G35">
        <f t="shared" si="1"/>
        <v>1.0312684183291856</v>
      </c>
      <c r="H35">
        <f t="shared" si="2"/>
        <v>1.5790915423928957E-2</v>
      </c>
    </row>
    <row r="36" spans="2:8" x14ac:dyDescent="0.2">
      <c r="B36">
        <f t="shared" si="3"/>
        <v>32</v>
      </c>
      <c r="C36">
        <v>0.79295513014732999</v>
      </c>
      <c r="D36">
        <v>8.7739779569584991E-3</v>
      </c>
      <c r="E36">
        <v>1.1064911018771398E-2</v>
      </c>
      <c r="F36">
        <f t="shared" si="0"/>
        <v>228.49002075195313</v>
      </c>
      <c r="G36">
        <f t="shared" si="1"/>
        <v>0.88906718637860471</v>
      </c>
      <c r="H36">
        <f t="shared" si="2"/>
        <v>1.3554515997994964E-2</v>
      </c>
    </row>
    <row r="37" spans="2:8" x14ac:dyDescent="0.2">
      <c r="B37">
        <f t="shared" si="3"/>
        <v>33</v>
      </c>
      <c r="C37">
        <v>0.80157450580481093</v>
      </c>
      <c r="D37">
        <v>7.5723952654486084E-3</v>
      </c>
      <c r="E37">
        <v>9.4469013305826625E-3</v>
      </c>
      <c r="F37">
        <f t="shared" si="0"/>
        <v>230.97369384765625</v>
      </c>
      <c r="G37">
        <f t="shared" si="1"/>
        <v>0.76731081224790743</v>
      </c>
      <c r="H37">
        <f t="shared" si="2"/>
        <v>1.1572454129963763E-2</v>
      </c>
    </row>
    <row r="38" spans="2:8" x14ac:dyDescent="0.2">
      <c r="B38">
        <f t="shared" si="3"/>
        <v>34</v>
      </c>
      <c r="C38">
        <v>0.81119027006197952</v>
      </c>
      <c r="D38">
        <v>6.5470484082987201E-3</v>
      </c>
      <c r="E38">
        <v>8.0709158503571403E-3</v>
      </c>
      <c r="F38">
        <f t="shared" si="0"/>
        <v>233.74447631835938</v>
      </c>
      <c r="G38">
        <f t="shared" si="1"/>
        <v>0.66341241521290928</v>
      </c>
      <c r="H38">
        <f t="shared" si="2"/>
        <v>9.8868719166874969E-3</v>
      </c>
    </row>
    <row r="39" spans="2:8" x14ac:dyDescent="0.2">
      <c r="B39">
        <f t="shared" si="3"/>
        <v>35</v>
      </c>
      <c r="C39">
        <v>0.820803015922561</v>
      </c>
      <c r="D39">
        <v>5.6705076349053626E-3</v>
      </c>
      <c r="E39">
        <v>6.9084878160832067E-3</v>
      </c>
      <c r="F39">
        <f t="shared" si="0"/>
        <v>236.51438903808594</v>
      </c>
      <c r="G39">
        <f t="shared" si="1"/>
        <v>0.5745925386449604</v>
      </c>
      <c r="H39">
        <f t="shared" si="2"/>
        <v>8.4628975747019289E-3</v>
      </c>
    </row>
    <row r="40" spans="2:8" x14ac:dyDescent="0.2">
      <c r="B40">
        <f t="shared" si="3"/>
        <v>36</v>
      </c>
      <c r="C40">
        <v>0.83041274338655546</v>
      </c>
      <c r="D40">
        <v>4.9197656436249732E-3</v>
      </c>
      <c r="E40">
        <v>5.924482352668849E-3</v>
      </c>
      <c r="F40">
        <f t="shared" si="0"/>
        <v>239.28343200683594</v>
      </c>
      <c r="G40">
        <f t="shared" si="1"/>
        <v>0.4985198526685185</v>
      </c>
      <c r="H40">
        <f t="shared" si="2"/>
        <v>7.2574908820193405E-3</v>
      </c>
    </row>
    <row r="41" spans="2:8" x14ac:dyDescent="0.2">
      <c r="B41">
        <f t="shared" si="3"/>
        <v>37</v>
      </c>
      <c r="C41">
        <v>0.84001950540828896</v>
      </c>
      <c r="D41">
        <v>4.2755821325646017E-3</v>
      </c>
      <c r="E41">
        <v>5.0898605389960178E-3</v>
      </c>
      <c r="F41">
        <f t="shared" si="0"/>
        <v>242.05162048339844</v>
      </c>
      <c r="G41">
        <f t="shared" si="1"/>
        <v>0.43324473749277109</v>
      </c>
      <c r="H41">
        <f t="shared" si="2"/>
        <v>6.235079160270122E-3</v>
      </c>
    </row>
    <row r="42" spans="2:8" x14ac:dyDescent="0.2">
      <c r="B42">
        <f t="shared" si="3"/>
        <v>38</v>
      </c>
      <c r="C42">
        <v>0.8496231960791093</v>
      </c>
      <c r="D42">
        <v>3.7218454504420965E-3</v>
      </c>
      <c r="E42">
        <v>4.3805836135570285E-3</v>
      </c>
      <c r="F42">
        <f t="shared" si="0"/>
        <v>244.81892395019531</v>
      </c>
      <c r="G42">
        <f t="shared" si="1"/>
        <v>0.37713459949329764</v>
      </c>
      <c r="H42">
        <f t="shared" si="2"/>
        <v>5.3662149266073605E-3</v>
      </c>
    </row>
    <row r="43" spans="2:8" x14ac:dyDescent="0.2">
      <c r="B43">
        <f t="shared" si="3"/>
        <v>39</v>
      </c>
      <c r="C43">
        <v>0.85922397426199471</v>
      </c>
      <c r="D43">
        <v>3.2450130834717999E-3</v>
      </c>
      <c r="E43">
        <v>3.776678934336078E-3</v>
      </c>
      <c r="F43">
        <f t="shared" si="0"/>
        <v>247.58538818359375</v>
      </c>
      <c r="G43">
        <f t="shared" si="1"/>
        <v>0.32881717574819747</v>
      </c>
      <c r="H43">
        <f t="shared" si="2"/>
        <v>4.6264316945616958E-3</v>
      </c>
    </row>
    <row r="44" spans="2:8" x14ac:dyDescent="0.2">
      <c r="B44">
        <f t="shared" si="3"/>
        <v>40</v>
      </c>
      <c r="C44">
        <v>0.8688217340482931</v>
      </c>
      <c r="D44">
        <v>2.833704783766816E-3</v>
      </c>
      <c r="E44">
        <v>3.2615491449127418E-3</v>
      </c>
      <c r="F44">
        <f t="shared" si="0"/>
        <v>250.35098266601563</v>
      </c>
      <c r="G44">
        <f t="shared" si="1"/>
        <v>0.28713930573909147</v>
      </c>
      <c r="H44">
        <f t="shared" si="2"/>
        <v>3.9953977025181091E-3</v>
      </c>
    </row>
    <row r="45" spans="2:8" x14ac:dyDescent="0.2">
      <c r="B45">
        <f t="shared" si="3"/>
        <v>41</v>
      </c>
      <c r="C45">
        <v>0.87841647543800438</v>
      </c>
      <c r="D45">
        <v>2.4783214902702384E-3</v>
      </c>
      <c r="E45">
        <v>2.8213513288608051E-3</v>
      </c>
      <c r="F45">
        <f t="shared" si="0"/>
        <v>253.11570739746094</v>
      </c>
      <c r="G45">
        <f t="shared" si="1"/>
        <v>0.25112831660908325</v>
      </c>
      <c r="H45">
        <f t="shared" si="2"/>
        <v>3.4561553778544867E-3</v>
      </c>
    </row>
    <row r="46" spans="2:8" x14ac:dyDescent="0.2">
      <c r="B46">
        <f t="shared" si="3"/>
        <v>42</v>
      </c>
      <c r="C46">
        <v>0.88800825138545469</v>
      </c>
      <c r="D46">
        <v>2.1707539964155669E-3</v>
      </c>
      <c r="E46">
        <v>2.4445200740294869E-3</v>
      </c>
      <c r="F46">
        <f t="shared" si="0"/>
        <v>255.87957763671875</v>
      </c>
      <c r="G46">
        <f t="shared" si="1"/>
        <v>0.21996250245678939</v>
      </c>
      <c r="H46">
        <f t="shared" si="2"/>
        <v>2.9945370906861216E-3</v>
      </c>
    </row>
    <row r="47" spans="2:8" x14ac:dyDescent="0.2">
      <c r="B47">
        <f t="shared" si="3"/>
        <v>43</v>
      </c>
      <c r="C47">
        <v>0.897597008936318</v>
      </c>
      <c r="D47">
        <v>1.9041434309228407E-3</v>
      </c>
      <c r="E47">
        <v>2.1213789840713857E-3</v>
      </c>
      <c r="F47">
        <f t="shared" si="0"/>
        <v>258.642578125</v>
      </c>
      <c r="G47">
        <f t="shared" si="1"/>
        <v>0.19294685385541144</v>
      </c>
      <c r="H47">
        <f t="shared" si="2"/>
        <v>2.5986892554874476E-3</v>
      </c>
    </row>
    <row r="48" spans="2:8" x14ac:dyDescent="0.2">
      <c r="B48">
        <f t="shared" si="3"/>
        <v>44</v>
      </c>
      <c r="C48">
        <v>0.90718269513626804</v>
      </c>
      <c r="D48">
        <v>1.6726743303470586E-3</v>
      </c>
      <c r="E48">
        <v>1.8438119899275701E-3</v>
      </c>
      <c r="F48">
        <f t="shared" si="0"/>
        <v>261.40469360351563</v>
      </c>
      <c r="G48">
        <f t="shared" si="1"/>
        <v>0.16949208989406744</v>
      </c>
      <c r="H48">
        <f t="shared" si="2"/>
        <v>2.2586696876612735E-3</v>
      </c>
    </row>
    <row r="49" spans="2:8" x14ac:dyDescent="0.2">
      <c r="B49">
        <f t="shared" si="3"/>
        <v>45</v>
      </c>
      <c r="C49">
        <v>0.9167655218026094</v>
      </c>
      <c r="D49">
        <v>1.4714018738956841E-3</v>
      </c>
      <c r="E49">
        <v>1.604992595055832E-3</v>
      </c>
      <c r="F49">
        <f t="shared" si="0"/>
        <v>264.16598510742188</v>
      </c>
      <c r="G49">
        <f t="shared" si="1"/>
        <v>0.14909715188184966</v>
      </c>
      <c r="H49">
        <f t="shared" si="2"/>
        <v>1.9661159289433945E-3</v>
      </c>
    </row>
    <row r="50" spans="2:8" x14ac:dyDescent="0.2">
      <c r="B50">
        <f t="shared" si="3"/>
        <v>46</v>
      </c>
      <c r="C50">
        <v>0.9263452771180376</v>
      </c>
      <c r="D50">
        <v>1.2961276850531689E-3</v>
      </c>
      <c r="E50">
        <v>1.3991842103255119E-3</v>
      </c>
      <c r="F50">
        <f t="shared" si="0"/>
        <v>266.9263916015625</v>
      </c>
      <c r="G50">
        <f t="shared" si="1"/>
        <v>0.13133661832643762</v>
      </c>
      <c r="H50">
        <f t="shared" si="2"/>
        <v>1.7140006576487523E-3</v>
      </c>
    </row>
    <row r="51" spans="2:8" x14ac:dyDescent="0.2">
      <c r="B51">
        <f t="shared" si="3"/>
        <v>47</v>
      </c>
      <c r="C51">
        <v>0.93592217289985691</v>
      </c>
      <c r="D51">
        <v>1.1432657223126219E-3</v>
      </c>
      <c r="E51">
        <v>1.2215393068104505E-3</v>
      </c>
      <c r="F51">
        <f t="shared" si="0"/>
        <v>269.68597412109375</v>
      </c>
      <c r="G51">
        <f t="shared" si="1"/>
        <v>0.11584711564193798</v>
      </c>
      <c r="H51">
        <f t="shared" si="2"/>
        <v>1.496385650842802E-3</v>
      </c>
    </row>
    <row r="52" spans="2:8" x14ac:dyDescent="0.2">
      <c r="B52">
        <f t="shared" si="3"/>
        <v>48</v>
      </c>
      <c r="C52">
        <v>0.93926772131349778</v>
      </c>
      <c r="D52">
        <v>1.0094920636194672E-3</v>
      </c>
      <c r="E52">
        <v>1.0747649905479193E-3</v>
      </c>
      <c r="F52">
        <f t="shared" si="0"/>
        <v>270.64999389648438</v>
      </c>
      <c r="G52">
        <f t="shared" si="1"/>
        <v>0.10229183080656061</v>
      </c>
      <c r="H52">
        <f t="shared" si="2"/>
        <v>1.3165871134212012E-3</v>
      </c>
    </row>
    <row r="53" spans="2:8" x14ac:dyDescent="0.2">
      <c r="B53">
        <f t="shared" si="3"/>
        <v>49</v>
      </c>
      <c r="C53">
        <v>0.93926772131349778</v>
      </c>
      <c r="D53">
        <v>8.9147432491900865E-4</v>
      </c>
      <c r="E53">
        <v>9.4911632188567757E-4</v>
      </c>
      <c r="F53">
        <f t="shared" si="0"/>
        <v>270.64999389648438</v>
      </c>
      <c r="G53">
        <f t="shared" si="1"/>
        <v>9.0333093344043144E-2</v>
      </c>
      <c r="H53">
        <f t="shared" si="2"/>
        <v>1.1626674943099552E-3</v>
      </c>
    </row>
    <row r="54" spans="2:8" x14ac:dyDescent="0.2">
      <c r="B54">
        <f t="shared" si="3"/>
        <v>50</v>
      </c>
      <c r="C54">
        <v>0.93926772131349778</v>
      </c>
      <c r="D54">
        <v>7.872845144391913E-4</v>
      </c>
      <c r="E54">
        <v>8.3818968391485978E-4</v>
      </c>
      <c r="F54">
        <f t="shared" si="0"/>
        <v>270.64999389648438</v>
      </c>
      <c r="G54">
        <f t="shared" si="1"/>
        <v>7.9775539848123259E-2</v>
      </c>
      <c r="H54">
        <f t="shared" si="2"/>
        <v>1.0267823627957034E-3</v>
      </c>
    </row>
    <row r="55" spans="2:8" x14ac:dyDescent="0.2">
      <c r="B55">
        <f t="shared" si="3"/>
        <v>51</v>
      </c>
      <c r="C55">
        <v>0.93926772131349778</v>
      </c>
      <c r="D55">
        <v>6.9529852508472658E-4</v>
      </c>
      <c r="E55">
        <v>7.4025595611057731E-4</v>
      </c>
      <c r="F55">
        <f t="shared" si="0"/>
        <v>270.64999389648438</v>
      </c>
      <c r="G55">
        <f t="shared" si="1"/>
        <v>7.0454599546835348E-2</v>
      </c>
      <c r="H55">
        <f t="shared" si="2"/>
        <v>9.0681354623545728E-4</v>
      </c>
    </row>
    <row r="56" spans="2:8" x14ac:dyDescent="0.2">
      <c r="B56">
        <f t="shared" si="3"/>
        <v>52</v>
      </c>
      <c r="C56">
        <v>0.93364270097903657</v>
      </c>
      <c r="D56">
        <v>6.1394966799593084E-4</v>
      </c>
      <c r="E56">
        <v>6.5758524899528568E-4</v>
      </c>
      <c r="F56">
        <f t="shared" si="0"/>
        <v>269.02914428710938</v>
      </c>
      <c r="G56">
        <f t="shared" si="1"/>
        <v>6.221151985802767E-2</v>
      </c>
      <c r="H56">
        <f t="shared" si="2"/>
        <v>8.0554193001922505E-4</v>
      </c>
    </row>
    <row r="57" spans="2:8" x14ac:dyDescent="0.2">
      <c r="B57">
        <f t="shared" si="3"/>
        <v>53</v>
      </c>
      <c r="C57">
        <v>0.92408370375943527</v>
      </c>
      <c r="D57">
        <v>5.4150322657672042E-4</v>
      </c>
      <c r="E57">
        <v>5.8598936911638121E-4</v>
      </c>
      <c r="F57">
        <f t="shared" si="0"/>
        <v>266.27471923828125</v>
      </c>
      <c r="G57">
        <f t="shared" si="1"/>
        <v>5.4870521949019077E-2</v>
      </c>
      <c r="H57">
        <f t="shared" si="2"/>
        <v>7.1783697716756704E-4</v>
      </c>
    </row>
    <row r="58" spans="2:8" x14ac:dyDescent="0.2">
      <c r="B58">
        <f t="shared" si="3"/>
        <v>54</v>
      </c>
      <c r="C58">
        <v>0.91452777789074713</v>
      </c>
      <c r="D58">
        <v>4.7700187830563998E-4</v>
      </c>
      <c r="E58">
        <v>5.2158271168732543E-4</v>
      </c>
      <c r="F58">
        <f t="shared" si="0"/>
        <v>263.52117919921875</v>
      </c>
      <c r="G58">
        <f t="shared" si="1"/>
        <v>4.8334600328710495E-2</v>
      </c>
      <c r="H58">
        <f t="shared" si="2"/>
        <v>6.3893882181697366E-4</v>
      </c>
    </row>
    <row r="59" spans="2:8" x14ac:dyDescent="0.2">
      <c r="B59">
        <f t="shared" si="3"/>
        <v>55</v>
      </c>
      <c r="C59">
        <v>0.90497481746431985</v>
      </c>
      <c r="D59">
        <v>4.1964100398788468E-4</v>
      </c>
      <c r="E59">
        <v>4.6370462016135576E-4</v>
      </c>
      <c r="F59">
        <f t="shared" si="0"/>
        <v>260.76849365234375</v>
      </c>
      <c r="G59">
        <f t="shared" si="1"/>
        <v>4.252222293409235E-2</v>
      </c>
      <c r="H59">
        <f t="shared" si="2"/>
        <v>5.680381596976609E-4</v>
      </c>
    </row>
    <row r="60" spans="2:8" x14ac:dyDescent="0.2">
      <c r="B60">
        <f t="shared" si="3"/>
        <v>56</v>
      </c>
      <c r="C60">
        <v>0.89542482248015365</v>
      </c>
      <c r="D60">
        <v>3.6869122824986149E-4</v>
      </c>
      <c r="E60">
        <v>4.1175006431992591E-4</v>
      </c>
      <c r="F60">
        <f t="shared" si="0"/>
        <v>258.01666259765625</v>
      </c>
      <c r="G60">
        <f t="shared" si="1"/>
        <v>3.7359482158558464E-2</v>
      </c>
      <c r="H60">
        <f t="shared" si="2"/>
        <v>5.0439382879190924E-4</v>
      </c>
    </row>
    <row r="61" spans="2:8" x14ac:dyDescent="0.2">
      <c r="B61">
        <f t="shared" si="3"/>
        <v>57</v>
      </c>
      <c r="C61">
        <v>0.88587779293824842</v>
      </c>
      <c r="D61">
        <v>3.2349133531885626E-4</v>
      </c>
      <c r="E61">
        <v>3.6516474156769583E-4</v>
      </c>
      <c r="F61">
        <f t="shared" si="0"/>
        <v>255.26568603515625</v>
      </c>
      <c r="G61">
        <f t="shared" si="1"/>
        <v>3.2779377007859704E-2</v>
      </c>
      <c r="H61">
        <f t="shared" si="2"/>
        <v>4.4732680842042745E-4</v>
      </c>
    </row>
    <row r="62" spans="2:8" x14ac:dyDescent="0.2">
      <c r="B62">
        <f t="shared" si="3"/>
        <v>58</v>
      </c>
      <c r="C62">
        <v>0.87633372883860405</v>
      </c>
      <c r="D62">
        <v>2.834425016664598E-4</v>
      </c>
      <c r="E62">
        <v>3.2344127852080185E-4</v>
      </c>
      <c r="F62">
        <f t="shared" si="0"/>
        <v>252.51556396484375</v>
      </c>
      <c r="G62">
        <f t="shared" si="1"/>
        <v>2.8721228693862372E-2</v>
      </c>
      <c r="H62">
        <f t="shared" si="2"/>
        <v>3.962155661879823E-4</v>
      </c>
    </row>
    <row r="63" spans="2:8" x14ac:dyDescent="0.2">
      <c r="B63">
        <f t="shared" si="3"/>
        <v>59</v>
      </c>
      <c r="C63">
        <v>0.86679263018122077</v>
      </c>
      <c r="D63">
        <v>2.480029649771553E-4</v>
      </c>
      <c r="E63">
        <v>2.8611568250794332E-4</v>
      </c>
      <c r="F63">
        <f t="shared" si="0"/>
        <v>249.76629638671875</v>
      </c>
      <c r="G63">
        <f t="shared" si="1"/>
        <v>2.5130140441135145E-2</v>
      </c>
      <c r="H63">
        <f t="shared" si="2"/>
        <v>3.5049171107223059E-4</v>
      </c>
    </row>
    <row r="64" spans="2:8" x14ac:dyDescent="0.2">
      <c r="B64">
        <f t="shared" si="3"/>
        <v>60</v>
      </c>
      <c r="C64">
        <v>0.85725454992042449</v>
      </c>
      <c r="D64">
        <v>2.1668326370254782E-4</v>
      </c>
      <c r="E64">
        <v>2.5276420372765784E-4</v>
      </c>
      <c r="F64">
        <f t="shared" si="0"/>
        <v>247.01789855957028</v>
      </c>
      <c r="G64">
        <f t="shared" si="1"/>
        <v>2.195651511097917E-2</v>
      </c>
      <c r="H64">
        <f t="shared" si="2"/>
        <v>3.0963614956638089E-4</v>
      </c>
    </row>
    <row r="65" spans="2:8" x14ac:dyDescent="0.2">
      <c r="B65">
        <f t="shared" si="3"/>
        <v>61</v>
      </c>
      <c r="C65">
        <v>0.84771938214756315</v>
      </c>
      <c r="D65">
        <v>1.8904102071691075E-4</v>
      </c>
      <c r="E65">
        <v>2.2299952637393425E-4</v>
      </c>
      <c r="F65">
        <f t="shared" si="0"/>
        <v>244.27033996582031</v>
      </c>
      <c r="G65">
        <f t="shared" si="1"/>
        <v>1.9155526629244565E-2</v>
      </c>
      <c r="H65">
        <f t="shared" si="2"/>
        <v>2.7317441980806949E-4</v>
      </c>
    </row>
    <row r="66" spans="2:8" x14ac:dyDescent="0.2">
      <c r="B66">
        <f t="shared" si="3"/>
        <v>62</v>
      </c>
      <c r="C66">
        <v>0.83818717981696278</v>
      </c>
      <c r="D66">
        <v>1.6467779319946589E-4</v>
      </c>
      <c r="E66">
        <v>1.964689954282372E-4</v>
      </c>
      <c r="F66">
        <f t="shared" si="0"/>
        <v>241.52363586425781</v>
      </c>
      <c r="G66">
        <f t="shared" si="1"/>
        <v>1.6686800784901878E-2</v>
      </c>
      <c r="H66">
        <f t="shared" si="2"/>
        <v>2.4067451939959058E-4</v>
      </c>
    </row>
    <row r="67" spans="2:8" x14ac:dyDescent="0.2">
      <c r="B67">
        <f t="shared" si="3"/>
        <v>63</v>
      </c>
      <c r="C67">
        <v>0.82865794292862338</v>
      </c>
      <c r="D67">
        <v>1.4323449734786532E-4</v>
      </c>
      <c r="E67">
        <v>1.7285117287556471E-4</v>
      </c>
      <c r="F67">
        <f t="shared" si="0"/>
        <v>238.77778625488281</v>
      </c>
      <c r="G67">
        <f t="shared" si="1"/>
        <v>1.4513951616259192E-2</v>
      </c>
      <c r="H67">
        <f t="shared" si="2"/>
        <v>2.1174268677256677E-4</v>
      </c>
    </row>
    <row r="68" spans="2:8" x14ac:dyDescent="0.2">
      <c r="B68">
        <f t="shared" si="3"/>
        <v>64</v>
      </c>
      <c r="C68">
        <v>0.8191317244368711</v>
      </c>
      <c r="D68">
        <v>1.2438813835300938E-4</v>
      </c>
      <c r="E68">
        <v>1.518536453200156E-4</v>
      </c>
      <c r="F68">
        <f t="shared" si="0"/>
        <v>236.03280639648438</v>
      </c>
      <c r="G68">
        <f t="shared" si="1"/>
        <v>1.2604250059310439E-2</v>
      </c>
      <c r="H68">
        <f t="shared" si="2"/>
        <v>1.8602071551701913E-4</v>
      </c>
    </row>
    <row r="69" spans="2:8" x14ac:dyDescent="0.2">
      <c r="B69">
        <f t="shared" si="3"/>
        <v>65</v>
      </c>
      <c r="C69">
        <v>0.80960841843305364</v>
      </c>
      <c r="D69">
        <v>1.0784813838169156E-4</v>
      </c>
      <c r="E69">
        <v>1.3321024822151044E-4</v>
      </c>
      <c r="F69">
        <f t="shared" ref="F69:F87" si="4">288.15*C69</f>
        <v>233.2886657714844</v>
      </c>
      <c r="G69">
        <f t="shared" ref="G69:G88" si="5">101.33*D69</f>
        <v>1.0928251862216807E-2</v>
      </c>
      <c r="H69">
        <f t="shared" ref="H69:H88" si="6">1.225*E69</f>
        <v>1.6318255407135029E-4</v>
      </c>
    </row>
    <row r="70" spans="2:8" x14ac:dyDescent="0.2">
      <c r="B70">
        <f t="shared" ref="B70:B88" si="7">B69+1</f>
        <v>66</v>
      </c>
      <c r="C70">
        <v>0.80008807787149716</v>
      </c>
      <c r="D70">
        <v>9.3353960529587413E-5</v>
      </c>
      <c r="E70">
        <v>1.1667960454796463E-4</v>
      </c>
      <c r="F70">
        <f t="shared" si="4"/>
        <v>230.54537963867188</v>
      </c>
      <c r="G70">
        <f t="shared" si="5"/>
        <v>9.4595568204630925E-3</v>
      </c>
      <c r="H70">
        <f t="shared" si="6"/>
        <v>1.4293251557125669E-4</v>
      </c>
    </row>
    <row r="71" spans="2:8" x14ac:dyDescent="0.2">
      <c r="B71">
        <f t="shared" si="7"/>
        <v>67</v>
      </c>
      <c r="C71">
        <v>0.7905706497978755</v>
      </c>
      <c r="D71">
        <v>8.0671855538953444E-5</v>
      </c>
      <c r="E71">
        <v>1.0204256325425026E-4</v>
      </c>
      <c r="F71">
        <f t="shared" si="4"/>
        <v>227.80293273925781</v>
      </c>
      <c r="G71">
        <f t="shared" si="5"/>
        <v>8.1744791217621526E-3</v>
      </c>
      <c r="H71">
        <f t="shared" si="6"/>
        <v>1.2500213998645657E-4</v>
      </c>
    </row>
    <row r="72" spans="2:8" x14ac:dyDescent="0.2">
      <c r="B72">
        <f t="shared" si="7"/>
        <v>68</v>
      </c>
      <c r="C72">
        <v>0.78105624012084096</v>
      </c>
      <c r="D72">
        <v>6.9592718214886293E-5</v>
      </c>
      <c r="E72">
        <v>8.9100777434566387E-5</v>
      </c>
      <c r="F72">
        <f t="shared" si="4"/>
        <v>225.06135559082031</v>
      </c>
      <c r="G72">
        <f t="shared" si="5"/>
        <v>7.0518301367144282E-3</v>
      </c>
      <c r="H72">
        <f t="shared" si="6"/>
        <v>1.0914845235734384E-4</v>
      </c>
    </row>
    <row r="73" spans="2:8" x14ac:dyDescent="0.2">
      <c r="B73">
        <f t="shared" si="7"/>
        <v>69</v>
      </c>
      <c r="C73">
        <v>0.77154484884039354</v>
      </c>
      <c r="D73">
        <v>5.9929400487277112E-5</v>
      </c>
      <c r="E73">
        <v>7.7674552007377175E-5</v>
      </c>
      <c r="F73">
        <f t="shared" si="4"/>
        <v>222.32064819335938</v>
      </c>
      <c r="G73">
        <f t="shared" si="5"/>
        <v>6.0726461513757896E-3</v>
      </c>
      <c r="H73">
        <f t="shared" si="6"/>
        <v>9.5151326209037048E-5</v>
      </c>
    </row>
    <row r="74" spans="2:8" x14ac:dyDescent="0.2">
      <c r="B74">
        <f t="shared" si="7"/>
        <v>70</v>
      </c>
      <c r="C74">
        <v>0.76203626413922876</v>
      </c>
      <c r="D74">
        <v>5.1514588429122751E-5</v>
      </c>
      <c r="E74">
        <v>6.7601229565251661E-5</v>
      </c>
      <c r="F74">
        <f t="shared" si="4"/>
        <v>219.58074951171875</v>
      </c>
      <c r="G74">
        <f t="shared" si="5"/>
        <v>5.2199732455230083E-3</v>
      </c>
      <c r="H74">
        <f t="shared" si="6"/>
        <v>8.2811506217433291E-5</v>
      </c>
    </row>
    <row r="75" spans="2:8" x14ac:dyDescent="0.2">
      <c r="B75">
        <f t="shared" si="7"/>
        <v>71</v>
      </c>
      <c r="C75">
        <v>0.7525306978346511</v>
      </c>
      <c r="D75">
        <v>4.4199433571440199E-5</v>
      </c>
      <c r="E75">
        <v>5.8734392761146689E-5</v>
      </c>
      <c r="F75">
        <f t="shared" si="4"/>
        <v>216.84172058105469</v>
      </c>
      <c r="G75">
        <f t="shared" si="5"/>
        <v>4.4787286037940351E-3</v>
      </c>
      <c r="H75">
        <f t="shared" si="6"/>
        <v>7.1949631132404705E-5</v>
      </c>
    </row>
    <row r="76" spans="2:8" x14ac:dyDescent="0.2">
      <c r="B76">
        <f t="shared" si="7"/>
        <v>72</v>
      </c>
      <c r="C76">
        <v>0.74356997859120144</v>
      </c>
      <c r="D76">
        <v>3.7851610880675554E-5</v>
      </c>
      <c r="E76">
        <v>5.0905243582306521E-5</v>
      </c>
      <c r="F76">
        <f t="shared" si="4"/>
        <v>214.25968933105469</v>
      </c>
      <c r="G76">
        <f t="shared" si="5"/>
        <v>3.8355037305388539E-3</v>
      </c>
      <c r="H76">
        <f t="shared" si="6"/>
        <v>6.2358923388325494E-5</v>
      </c>
    </row>
    <row r="77" spans="2:8" x14ac:dyDescent="0.2">
      <c r="B77">
        <f t="shared" si="7"/>
        <v>73</v>
      </c>
      <c r="C77">
        <v>0.73678446420050325</v>
      </c>
      <c r="D77">
        <v>3.2365022295758094E-5</v>
      </c>
      <c r="E77">
        <v>4.3927395145170309E-5</v>
      </c>
      <c r="F77">
        <f t="shared" si="4"/>
        <v>212.304443359375</v>
      </c>
      <c r="G77">
        <f t="shared" si="5"/>
        <v>3.2795477092291674E-3</v>
      </c>
      <c r="H77">
        <f t="shared" si="6"/>
        <v>5.3811059052833631E-5</v>
      </c>
    </row>
    <row r="78" spans="2:8" x14ac:dyDescent="0.2">
      <c r="B78">
        <f t="shared" si="7"/>
        <v>74</v>
      </c>
      <c r="C78">
        <v>0.73000112093717473</v>
      </c>
      <c r="D78">
        <v>2.7635051510790251E-5</v>
      </c>
      <c r="E78">
        <v>3.7856176816978578E-5</v>
      </c>
      <c r="F78">
        <f t="shared" si="4"/>
        <v>210.34982299804688</v>
      </c>
      <c r="G78">
        <f t="shared" si="5"/>
        <v>2.8002597695883759E-3</v>
      </c>
      <c r="H78">
        <f t="shared" si="6"/>
        <v>4.6373816600798759E-5</v>
      </c>
    </row>
    <row r="79" spans="2:8" x14ac:dyDescent="0.2">
      <c r="B79">
        <f t="shared" si="7"/>
        <v>75</v>
      </c>
      <c r="C79">
        <v>0.72321984289256358</v>
      </c>
      <c r="D79">
        <v>2.3562710764666387E-5</v>
      </c>
      <c r="E79">
        <v>3.2580287994347381E-5</v>
      </c>
      <c r="F79">
        <f t="shared" si="4"/>
        <v>208.39579772949219</v>
      </c>
      <c r="G79">
        <f t="shared" si="5"/>
        <v>2.3876094817836448E-3</v>
      </c>
      <c r="H79">
        <f t="shared" si="6"/>
        <v>3.9910852793075546E-5</v>
      </c>
    </row>
    <row r="80" spans="2:8" x14ac:dyDescent="0.2">
      <c r="B80">
        <f t="shared" si="7"/>
        <v>76</v>
      </c>
      <c r="C80">
        <v>0.71644073597532221</v>
      </c>
      <c r="D80">
        <v>2.006136394852661E-5</v>
      </c>
      <c r="E80">
        <v>2.8001428368274166E-5</v>
      </c>
      <c r="F80">
        <f t="shared" si="4"/>
        <v>206.44239807128909</v>
      </c>
      <c r="G80">
        <f t="shared" si="5"/>
        <v>2.0328180089042012E-3</v>
      </c>
      <c r="H80">
        <f t="shared" si="6"/>
        <v>3.4301749751135859E-5</v>
      </c>
    </row>
    <row r="81" spans="2:8" x14ac:dyDescent="0.2">
      <c r="B81">
        <f t="shared" si="7"/>
        <v>77</v>
      </c>
      <c r="C81">
        <v>0.70966364132247206</v>
      </c>
      <c r="D81">
        <v>1.7055029281639252E-5</v>
      </c>
      <c r="E81">
        <v>2.4032553295046752E-5</v>
      </c>
      <c r="F81">
        <f t="shared" si="4"/>
        <v>204.48957824707031</v>
      </c>
      <c r="G81">
        <f t="shared" si="5"/>
        <v>1.7281861171085054E-3</v>
      </c>
      <c r="H81">
        <f t="shared" si="6"/>
        <v>2.9439877786432273E-5</v>
      </c>
    </row>
    <row r="82" spans="2:8" x14ac:dyDescent="0.2">
      <c r="B82">
        <f t="shared" si="7"/>
        <v>78</v>
      </c>
      <c r="C82">
        <v>0.70288871779699169</v>
      </c>
      <c r="D82">
        <v>1.4477408326284504E-5</v>
      </c>
      <c r="E82">
        <v>2.0597013381662883E-5</v>
      </c>
      <c r="F82">
        <f t="shared" si="4"/>
        <v>202.53738403320315</v>
      </c>
      <c r="G82">
        <f t="shared" si="5"/>
        <v>1.4669957857024088E-3</v>
      </c>
      <c r="H82">
        <f t="shared" si="6"/>
        <v>2.5231341392537035E-5</v>
      </c>
    </row>
    <row r="83" spans="2:8" x14ac:dyDescent="0.2">
      <c r="B83">
        <f t="shared" si="7"/>
        <v>79</v>
      </c>
      <c r="C83">
        <v>0.69611585949022869</v>
      </c>
      <c r="D83">
        <v>1.2270491235392458E-5</v>
      </c>
      <c r="E83">
        <v>1.7627081854417507E-5</v>
      </c>
      <c r="F83">
        <f t="shared" si="4"/>
        <v>200.58578491210938</v>
      </c>
      <c r="G83">
        <f t="shared" si="5"/>
        <v>1.2433688768823177E-3</v>
      </c>
      <c r="H83">
        <f t="shared" si="6"/>
        <v>2.1593175271661447E-5</v>
      </c>
    </row>
    <row r="84" spans="2:8" x14ac:dyDescent="0.2">
      <c r="B84">
        <f t="shared" si="7"/>
        <v>80</v>
      </c>
      <c r="C84">
        <v>0.68934511935650922</v>
      </c>
      <c r="D84">
        <v>1.0383734711187668E-5</v>
      </c>
      <c r="E84">
        <v>1.5063187392812311E-5</v>
      </c>
      <c r="F84">
        <f t="shared" si="4"/>
        <v>198.63479614257813</v>
      </c>
      <c r="G84">
        <f t="shared" si="5"/>
        <v>1.0521838382846465E-3</v>
      </c>
      <c r="H84">
        <f t="shared" si="6"/>
        <v>1.8452404556195082E-5</v>
      </c>
    </row>
    <row r="85" spans="2:8" x14ac:dyDescent="0.2">
      <c r="B85">
        <f t="shared" si="7"/>
        <v>81</v>
      </c>
      <c r="C85">
        <v>0.68257649739583337</v>
      </c>
      <c r="D85">
        <v>8.7730890327140563E-6</v>
      </c>
      <c r="E85">
        <v>1.2852902299134465E-5</v>
      </c>
      <c r="F85">
        <f t="shared" si="4"/>
        <v>196.68441772460938</v>
      </c>
      <c r="G85">
        <f t="shared" si="5"/>
        <v>8.8897711168491533E-4</v>
      </c>
      <c r="H85">
        <f t="shared" si="6"/>
        <v>1.5744805316439721E-5</v>
      </c>
    </row>
    <row r="86" spans="2:8" x14ac:dyDescent="0.2">
      <c r="B86">
        <f t="shared" si="7"/>
        <v>82</v>
      </c>
      <c r="C86">
        <v>0.67580994065387501</v>
      </c>
      <c r="D86">
        <v>7.400220296364047E-6</v>
      </c>
      <c r="E86">
        <v>1.0950150110553297E-5</v>
      </c>
      <c r="F86">
        <f t="shared" si="4"/>
        <v>194.73463439941406</v>
      </c>
      <c r="G86">
        <f t="shared" si="5"/>
        <v>7.498643226305689E-4</v>
      </c>
      <c r="H86">
        <f t="shared" si="6"/>
        <v>1.3413933885427791E-5</v>
      </c>
    </row>
    <row r="87" spans="2:8" x14ac:dyDescent="0.2">
      <c r="B87">
        <f t="shared" si="7"/>
        <v>83</v>
      </c>
      <c r="C87">
        <v>0.66904550208496016</v>
      </c>
      <c r="D87">
        <v>6.2318430494949527E-6</v>
      </c>
      <c r="E87">
        <v>9.3145279806448638E-6</v>
      </c>
      <c r="F87">
        <f t="shared" si="4"/>
        <v>192.78546142578125</v>
      </c>
      <c r="G87">
        <f t="shared" si="5"/>
        <v>6.3147265620532359E-4</v>
      </c>
      <c r="H87">
        <f t="shared" si="6"/>
        <v>1.1410296776289959E-5</v>
      </c>
    </row>
    <row r="88" spans="2:8" x14ac:dyDescent="0.2">
      <c r="B88">
        <f t="shared" si="7"/>
        <v>84</v>
      </c>
      <c r="C88">
        <v>0.6622831287347628</v>
      </c>
      <c r="D88">
        <v>5.239056935715037E-6</v>
      </c>
      <c r="E88">
        <v>7.9106000264929325E-6</v>
      </c>
      <c r="F88">
        <f>288.15*C88</f>
        <v>190.83688354492188</v>
      </c>
      <c r="G88">
        <f t="shared" si="5"/>
        <v>5.3087363929600465E-4</v>
      </c>
      <c r="H88">
        <f t="shared" si="6"/>
        <v>9.6904850324538425E-6</v>
      </c>
    </row>
  </sheetData>
  <mergeCells count="1">
    <mergeCell ref="A1:H1"/>
  </mergeCells>
  <phoneticPr fontId="0"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6385" r:id="rId4" name="CommandButton1">
          <controlPr defaultSize="0" autoLine="0" r:id="rId5">
            <anchor moveWithCells="1">
              <from>
                <xdr:col>8</xdr:col>
                <xdr:colOff>104775</xdr:colOff>
                <xdr:row>0</xdr:row>
                <xdr:rowOff>133350</xdr:rowOff>
              </from>
              <to>
                <xdr:col>9</xdr:col>
                <xdr:colOff>428625</xdr:colOff>
                <xdr:row>2</xdr:row>
                <xdr:rowOff>123825</xdr:rowOff>
              </to>
            </anchor>
          </controlPr>
        </control>
      </mc:Choice>
      <mc:Fallback>
        <control shapeId="1638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MainSheet</vt:lpstr>
      <vt:lpstr>TabularData</vt:lpstr>
      <vt:lpstr>Temperature,Pressure,Density</vt:lpstr>
      <vt:lpstr>altitude</vt:lpstr>
      <vt:lpstr>density_ratio</vt:lpstr>
      <vt:lpstr>gtab</vt:lpstr>
      <vt:lpstr>htab</vt:lpstr>
      <vt:lpstr>pressure_ratio</vt:lpstr>
      <vt:lpstr>ptab</vt:lpstr>
      <vt:lpstr>temp_ratio</vt:lpstr>
      <vt:lpstr>ttab</vt:lpstr>
    </vt:vector>
  </TitlesOfParts>
  <Manager>Robert J. Ribando</Manager>
  <Company>Experto Crede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USStandardAtmosphere</dc:title>
  <dc:subject>Evaluates 1976 US Standard Atmosphere, giving temperature, pressure and density as a function of altitude.</dc:subject>
  <dc:creator>Robert J. Ribando</dc:creator>
  <dc:description>Temperature, Pressure and Density as funtions of altitude</dc:description>
  <cp:lastModifiedBy>Jaime Ormeno</cp:lastModifiedBy>
  <cp:lastPrinted>2003-09-04T14:55:22Z</cp:lastPrinted>
  <dcterms:created xsi:type="dcterms:W3CDTF">2003-08-30T22:04:34Z</dcterms:created>
  <dcterms:modified xsi:type="dcterms:W3CDTF">2023-12-16T20:27:08Z</dcterms:modified>
  <cp:category>Fluid Mechanics Insruction</cp:category>
</cp:coreProperties>
</file>